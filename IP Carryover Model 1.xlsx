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73ff7667300ed6d/Desktop/"/>
    </mc:Choice>
  </mc:AlternateContent>
  <xr:revisionPtr revIDLastSave="47" documentId="8_{8366A819-C3BD-409C-80A5-B5CE4603071F}" xr6:coauthVersionLast="47" xr6:coauthVersionMax="47" xr10:uidLastSave="{B38D80AB-7247-4687-8835-03437339A55C}"/>
  <bookViews>
    <workbookView xWindow="-96" yWindow="-96" windowWidth="23232" windowHeight="12432" tabRatio="500" xr2:uid="{00000000-000D-0000-FFFF-FFFF00000000}"/>
  </bookViews>
  <sheets>
    <sheet name="Assumptions" sheetId="1" r:id="rId1"/>
    <sheet name="Summary" sheetId="2" r:id="rId2"/>
    <sheet name="Bayer__Above_ground_85" sheetId="3" r:id="rId3"/>
    <sheet name="Bayer__Above_ground_95" sheetId="4" r:id="rId4"/>
    <sheet name="Bayer__Above_ground_105" sheetId="5" r:id="rId5"/>
    <sheet name="Bayer__Above_ground_115" sheetId="6" r:id="rId6"/>
    <sheet name="Bayer__Above_below_85" sheetId="7" r:id="rId7"/>
    <sheet name="Bayer__Above_below_95" sheetId="8" r:id="rId8"/>
    <sheet name="Bayer__Above_below_105" sheetId="9" r:id="rId9"/>
    <sheet name="Bayer__Above_below_115" sheetId="10" r:id="rId10"/>
    <sheet name="Conventional_85" sheetId="11" r:id="rId11"/>
    <sheet name="Conventional_95" sheetId="12" r:id="rId12"/>
    <sheet name="Conventional_105" sheetId="13" r:id="rId13"/>
    <sheet name="Conventional_115" sheetId="14" r:id="rId14"/>
    <sheet name="Syngenta__Above_gr_85" sheetId="15" r:id="rId15"/>
    <sheet name="Syngenta__Above_gr_95" sheetId="16" r:id="rId16"/>
    <sheet name="Syngenta__Above_gr_105" sheetId="17" r:id="rId17"/>
    <sheet name="Syngenta__Above_gr_115" sheetId="18" r:id="rId18"/>
    <sheet name="Syngenta__Above_be_85" sheetId="19" r:id="rId19"/>
    <sheet name="Syngenta__Above_be_95" sheetId="20" r:id="rId20"/>
    <sheet name="Syngenta__Above_be_105" sheetId="21" r:id="rId21"/>
    <sheet name="Syngenta__Above_be_115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K6" i="22"/>
  <c r="K7" i="22" s="1"/>
  <c r="J6" i="22"/>
  <c r="J7" i="22" s="1"/>
  <c r="I6" i="22"/>
  <c r="I7" i="22" s="1"/>
  <c r="H6" i="22"/>
  <c r="H7" i="22" s="1"/>
  <c r="G6" i="22"/>
  <c r="G7" i="22" s="1"/>
  <c r="F6" i="22"/>
  <c r="F7" i="22" s="1"/>
  <c r="E6" i="22"/>
  <c r="E7" i="22" s="1"/>
  <c r="D6" i="22"/>
  <c r="D7" i="22" s="1"/>
  <c r="C6" i="22"/>
  <c r="C7" i="22" s="1"/>
  <c r="B6" i="22"/>
  <c r="B7" i="22" s="1"/>
  <c r="B4" i="22"/>
  <c r="H7" i="21"/>
  <c r="K6" i="21"/>
  <c r="K7" i="21" s="1"/>
  <c r="J6" i="21"/>
  <c r="J7" i="21" s="1"/>
  <c r="I6" i="21"/>
  <c r="I7" i="21" s="1"/>
  <c r="H6" i="21"/>
  <c r="G6" i="21"/>
  <c r="G7" i="21" s="1"/>
  <c r="F6" i="21"/>
  <c r="F7" i="21" s="1"/>
  <c r="E6" i="21"/>
  <c r="E7" i="21" s="1"/>
  <c r="D6" i="21"/>
  <c r="D7" i="21" s="1"/>
  <c r="C6" i="21"/>
  <c r="C7" i="21" s="1"/>
  <c r="B6" i="21"/>
  <c r="B7" i="21" s="1"/>
  <c r="B4" i="21"/>
  <c r="K6" i="20"/>
  <c r="K7" i="20" s="1"/>
  <c r="J6" i="20"/>
  <c r="J7" i="20" s="1"/>
  <c r="I6" i="20"/>
  <c r="I7" i="20" s="1"/>
  <c r="H6" i="20"/>
  <c r="H7" i="20" s="1"/>
  <c r="G6" i="20"/>
  <c r="G7" i="20" s="1"/>
  <c r="F6" i="20"/>
  <c r="F7" i="20" s="1"/>
  <c r="E6" i="20"/>
  <c r="E7" i="20" s="1"/>
  <c r="D6" i="20"/>
  <c r="D7" i="20" s="1"/>
  <c r="C6" i="20"/>
  <c r="C7" i="20" s="1"/>
  <c r="B6" i="20"/>
  <c r="B7" i="20" s="1"/>
  <c r="B4" i="20"/>
  <c r="C7" i="19"/>
  <c r="B7" i="19"/>
  <c r="K6" i="19"/>
  <c r="K7" i="19" s="1"/>
  <c r="J6" i="19"/>
  <c r="J7" i="19" s="1"/>
  <c r="I6" i="19"/>
  <c r="I7" i="19" s="1"/>
  <c r="H6" i="19"/>
  <c r="H7" i="19" s="1"/>
  <c r="G6" i="19"/>
  <c r="G7" i="19" s="1"/>
  <c r="F6" i="19"/>
  <c r="F7" i="19" s="1"/>
  <c r="E6" i="19"/>
  <c r="E7" i="19" s="1"/>
  <c r="D6" i="19"/>
  <c r="D7" i="19" s="1"/>
  <c r="C6" i="19"/>
  <c r="B6" i="19"/>
  <c r="B4" i="19"/>
  <c r="F7" i="18"/>
  <c r="C7" i="18"/>
  <c r="K6" i="18"/>
  <c r="K7" i="18" s="1"/>
  <c r="J6" i="18"/>
  <c r="J7" i="18" s="1"/>
  <c r="I6" i="18"/>
  <c r="I7" i="18" s="1"/>
  <c r="H6" i="18"/>
  <c r="H7" i="18" s="1"/>
  <c r="G6" i="18"/>
  <c r="G7" i="18" s="1"/>
  <c r="F6" i="18"/>
  <c r="E6" i="18"/>
  <c r="E7" i="18" s="1"/>
  <c r="D6" i="18"/>
  <c r="D7" i="18" s="1"/>
  <c r="C6" i="18"/>
  <c r="B6" i="18"/>
  <c r="B7" i="18" s="1"/>
  <c r="B4" i="18"/>
  <c r="B8" i="18" s="1"/>
  <c r="B10" i="18" s="1"/>
  <c r="C3" i="18" s="1"/>
  <c r="C7" i="17"/>
  <c r="B7" i="17"/>
  <c r="K6" i="17"/>
  <c r="K7" i="17" s="1"/>
  <c r="J6" i="17"/>
  <c r="J7" i="17" s="1"/>
  <c r="I6" i="17"/>
  <c r="I7" i="17" s="1"/>
  <c r="H6" i="17"/>
  <c r="H7" i="17" s="1"/>
  <c r="G6" i="17"/>
  <c r="G7" i="17" s="1"/>
  <c r="F6" i="17"/>
  <c r="F7" i="17" s="1"/>
  <c r="E6" i="17"/>
  <c r="E7" i="17" s="1"/>
  <c r="D6" i="17"/>
  <c r="D7" i="17" s="1"/>
  <c r="C6" i="17"/>
  <c r="B6" i="17"/>
  <c r="B4" i="17"/>
  <c r="I7" i="16"/>
  <c r="H7" i="16"/>
  <c r="D7" i="16"/>
  <c r="K6" i="16"/>
  <c r="K7" i="16" s="1"/>
  <c r="J6" i="16"/>
  <c r="J7" i="16" s="1"/>
  <c r="I6" i="16"/>
  <c r="H6" i="16"/>
  <c r="G6" i="16"/>
  <c r="G7" i="16" s="1"/>
  <c r="F6" i="16"/>
  <c r="F7" i="16" s="1"/>
  <c r="E6" i="16"/>
  <c r="E7" i="16" s="1"/>
  <c r="D6" i="16"/>
  <c r="C6" i="16"/>
  <c r="C7" i="16" s="1"/>
  <c r="B6" i="16"/>
  <c r="B7" i="16" s="1"/>
  <c r="B4" i="16"/>
  <c r="J7" i="15"/>
  <c r="G7" i="15"/>
  <c r="K6" i="15"/>
  <c r="K7" i="15" s="1"/>
  <c r="J6" i="15"/>
  <c r="I6" i="15"/>
  <c r="I7" i="15" s="1"/>
  <c r="H6" i="15"/>
  <c r="H7" i="15" s="1"/>
  <c r="G6" i="15"/>
  <c r="F6" i="15"/>
  <c r="F7" i="15" s="1"/>
  <c r="E6" i="15"/>
  <c r="E7" i="15" s="1"/>
  <c r="D6" i="15"/>
  <c r="D7" i="15" s="1"/>
  <c r="C6" i="15"/>
  <c r="C7" i="15" s="1"/>
  <c r="B6" i="15"/>
  <c r="B7" i="15" s="1"/>
  <c r="B4" i="15"/>
  <c r="I7" i="14"/>
  <c r="B7" i="14"/>
  <c r="K6" i="14"/>
  <c r="K7" i="14" s="1"/>
  <c r="J6" i="14"/>
  <c r="J7" i="14" s="1"/>
  <c r="I6" i="14"/>
  <c r="H6" i="14"/>
  <c r="H7" i="14" s="1"/>
  <c r="G6" i="14"/>
  <c r="G7" i="14" s="1"/>
  <c r="F6" i="14"/>
  <c r="F7" i="14" s="1"/>
  <c r="E6" i="14"/>
  <c r="E7" i="14" s="1"/>
  <c r="D6" i="14"/>
  <c r="D7" i="14" s="1"/>
  <c r="C6" i="14"/>
  <c r="C7" i="14" s="1"/>
  <c r="B6" i="14"/>
  <c r="B4" i="14"/>
  <c r="H7" i="13"/>
  <c r="K6" i="13"/>
  <c r="K7" i="13" s="1"/>
  <c r="J6" i="13"/>
  <c r="J7" i="13" s="1"/>
  <c r="I6" i="13"/>
  <c r="I7" i="13" s="1"/>
  <c r="H6" i="13"/>
  <c r="G6" i="13"/>
  <c r="G7" i="13" s="1"/>
  <c r="F6" i="13"/>
  <c r="F7" i="13" s="1"/>
  <c r="E6" i="13"/>
  <c r="E7" i="13" s="1"/>
  <c r="D6" i="13"/>
  <c r="D7" i="13" s="1"/>
  <c r="C6" i="13"/>
  <c r="C7" i="13" s="1"/>
  <c r="B6" i="13"/>
  <c r="B7" i="13" s="1"/>
  <c r="B4" i="13"/>
  <c r="B8" i="13" s="1"/>
  <c r="B10" i="13" s="1"/>
  <c r="C3" i="13" s="1"/>
  <c r="H7" i="12"/>
  <c r="D7" i="12"/>
  <c r="B7" i="12"/>
  <c r="K6" i="12"/>
  <c r="K7" i="12" s="1"/>
  <c r="J6" i="12"/>
  <c r="J7" i="12" s="1"/>
  <c r="I6" i="12"/>
  <c r="I7" i="12" s="1"/>
  <c r="H6" i="12"/>
  <c r="G6" i="12"/>
  <c r="G7" i="12" s="1"/>
  <c r="F6" i="12"/>
  <c r="F7" i="12" s="1"/>
  <c r="E6" i="12"/>
  <c r="E7" i="12" s="1"/>
  <c r="D6" i="12"/>
  <c r="C6" i="12"/>
  <c r="C7" i="12" s="1"/>
  <c r="B6" i="12"/>
  <c r="B4" i="12"/>
  <c r="J7" i="11"/>
  <c r="F7" i="11"/>
  <c r="C7" i="11"/>
  <c r="B7" i="11"/>
  <c r="K6" i="11"/>
  <c r="K7" i="11" s="1"/>
  <c r="J6" i="11"/>
  <c r="I6" i="11"/>
  <c r="I7" i="11" s="1"/>
  <c r="H6" i="11"/>
  <c r="H7" i="11" s="1"/>
  <c r="G6" i="11"/>
  <c r="G7" i="11" s="1"/>
  <c r="F6" i="11"/>
  <c r="E6" i="11"/>
  <c r="E7" i="11" s="1"/>
  <c r="D6" i="11"/>
  <c r="D7" i="11" s="1"/>
  <c r="C6" i="11"/>
  <c r="B6" i="11"/>
  <c r="B4" i="11"/>
  <c r="G7" i="10"/>
  <c r="K6" i="10"/>
  <c r="K7" i="10" s="1"/>
  <c r="J6" i="10"/>
  <c r="J7" i="10" s="1"/>
  <c r="I6" i="10"/>
  <c r="I7" i="10" s="1"/>
  <c r="H6" i="10"/>
  <c r="H7" i="10" s="1"/>
  <c r="G6" i="10"/>
  <c r="F6" i="10"/>
  <c r="F7" i="10" s="1"/>
  <c r="E6" i="10"/>
  <c r="E7" i="10" s="1"/>
  <c r="D6" i="10"/>
  <c r="D7" i="10" s="1"/>
  <c r="C6" i="10"/>
  <c r="C7" i="10" s="1"/>
  <c r="B6" i="10"/>
  <c r="B7" i="10" s="1"/>
  <c r="B4" i="10"/>
  <c r="K6" i="9"/>
  <c r="K7" i="9" s="1"/>
  <c r="J6" i="9"/>
  <c r="J7" i="9" s="1"/>
  <c r="I6" i="9"/>
  <c r="I7" i="9" s="1"/>
  <c r="H6" i="9"/>
  <c r="H7" i="9" s="1"/>
  <c r="G6" i="9"/>
  <c r="G7" i="9" s="1"/>
  <c r="F6" i="9"/>
  <c r="F7" i="9" s="1"/>
  <c r="E6" i="9"/>
  <c r="E7" i="9" s="1"/>
  <c r="D6" i="9"/>
  <c r="D7" i="9" s="1"/>
  <c r="C6" i="9"/>
  <c r="C7" i="9" s="1"/>
  <c r="B6" i="9"/>
  <c r="B7" i="9" s="1"/>
  <c r="B4" i="9"/>
  <c r="B8" i="9" s="1"/>
  <c r="B10" i="9" s="1"/>
  <c r="I7" i="8"/>
  <c r="B7" i="8"/>
  <c r="K6" i="8"/>
  <c r="K7" i="8" s="1"/>
  <c r="J6" i="8"/>
  <c r="J7" i="8" s="1"/>
  <c r="I6" i="8"/>
  <c r="H6" i="8"/>
  <c r="H7" i="8" s="1"/>
  <c r="G6" i="8"/>
  <c r="G7" i="8" s="1"/>
  <c r="F6" i="8"/>
  <c r="F7" i="8" s="1"/>
  <c r="E6" i="8"/>
  <c r="E7" i="8" s="1"/>
  <c r="D6" i="8"/>
  <c r="D7" i="8" s="1"/>
  <c r="C6" i="8"/>
  <c r="C7" i="8" s="1"/>
  <c r="B6" i="8"/>
  <c r="B4" i="8"/>
  <c r="K6" i="7"/>
  <c r="K7" i="7" s="1"/>
  <c r="J6" i="7"/>
  <c r="J7" i="7" s="1"/>
  <c r="I6" i="7"/>
  <c r="I7" i="7" s="1"/>
  <c r="H6" i="7"/>
  <c r="H7" i="7" s="1"/>
  <c r="G6" i="7"/>
  <c r="G7" i="7" s="1"/>
  <c r="F6" i="7"/>
  <c r="F7" i="7" s="1"/>
  <c r="E6" i="7"/>
  <c r="E7" i="7" s="1"/>
  <c r="D6" i="7"/>
  <c r="D7" i="7" s="1"/>
  <c r="C6" i="7"/>
  <c r="C7" i="7" s="1"/>
  <c r="B6" i="7"/>
  <c r="B7" i="7" s="1"/>
  <c r="B4" i="7"/>
  <c r="K7" i="6"/>
  <c r="J7" i="6"/>
  <c r="I7" i="6"/>
  <c r="H7" i="6"/>
  <c r="K6" i="6"/>
  <c r="J6" i="6"/>
  <c r="I6" i="6"/>
  <c r="H6" i="6"/>
  <c r="G6" i="6"/>
  <c r="G7" i="6" s="1"/>
  <c r="F6" i="6"/>
  <c r="F7" i="6" s="1"/>
  <c r="E6" i="6"/>
  <c r="E7" i="6" s="1"/>
  <c r="D6" i="6"/>
  <c r="D7" i="6" s="1"/>
  <c r="C6" i="6"/>
  <c r="C7" i="6" s="1"/>
  <c r="B6" i="6"/>
  <c r="B7" i="6" s="1"/>
  <c r="B4" i="6"/>
  <c r="K7" i="5"/>
  <c r="I7" i="5"/>
  <c r="K6" i="5"/>
  <c r="J6" i="5"/>
  <c r="J7" i="5" s="1"/>
  <c r="I6" i="5"/>
  <c r="H6" i="5"/>
  <c r="H7" i="5" s="1"/>
  <c r="G6" i="5"/>
  <c r="G7" i="5" s="1"/>
  <c r="F6" i="5"/>
  <c r="F7" i="5" s="1"/>
  <c r="E6" i="5"/>
  <c r="E7" i="5" s="1"/>
  <c r="D6" i="5"/>
  <c r="D7" i="5" s="1"/>
  <c r="C6" i="5"/>
  <c r="C7" i="5" s="1"/>
  <c r="B6" i="5"/>
  <c r="B7" i="5" s="1"/>
  <c r="B4" i="5"/>
  <c r="I7" i="4"/>
  <c r="H7" i="4"/>
  <c r="K6" i="4"/>
  <c r="K7" i="4" s="1"/>
  <c r="J6" i="4"/>
  <c r="J7" i="4" s="1"/>
  <c r="I6" i="4"/>
  <c r="H6" i="4"/>
  <c r="G6" i="4"/>
  <c r="G7" i="4" s="1"/>
  <c r="F6" i="4"/>
  <c r="F7" i="4" s="1"/>
  <c r="E6" i="4"/>
  <c r="E7" i="4" s="1"/>
  <c r="D6" i="4"/>
  <c r="D7" i="4" s="1"/>
  <c r="C6" i="4"/>
  <c r="C7" i="4" s="1"/>
  <c r="B6" i="4"/>
  <c r="B7" i="4" s="1"/>
  <c r="B4" i="4"/>
  <c r="B8" i="4" s="1"/>
  <c r="B10" i="4" s="1"/>
  <c r="K7" i="3"/>
  <c r="I7" i="3"/>
  <c r="D7" i="3"/>
  <c r="K6" i="3"/>
  <c r="J6" i="3"/>
  <c r="J7" i="3" s="1"/>
  <c r="I6" i="3"/>
  <c r="H6" i="3"/>
  <c r="H7" i="3" s="1"/>
  <c r="G6" i="3"/>
  <c r="G7" i="3" s="1"/>
  <c r="F6" i="3"/>
  <c r="F7" i="3" s="1"/>
  <c r="E6" i="3"/>
  <c r="E7" i="3" s="1"/>
  <c r="D6" i="3"/>
  <c r="C6" i="3"/>
  <c r="C7" i="3" s="1"/>
  <c r="B7" i="3"/>
  <c r="B4" i="3"/>
  <c r="B8" i="17" l="1"/>
  <c r="B10" i="17" s="1"/>
  <c r="C18" i="2"/>
  <c r="B8" i="7"/>
  <c r="B10" i="7" s="1"/>
  <c r="C3" i="7" s="1"/>
  <c r="C4" i="7" s="1"/>
  <c r="B8" i="3"/>
  <c r="B10" i="3" s="1"/>
  <c r="B8" i="12"/>
  <c r="B10" i="12" s="1"/>
  <c r="C3" i="12" s="1"/>
  <c r="C4" i="12" s="1"/>
  <c r="B8" i="19"/>
  <c r="B10" i="19" s="1"/>
  <c r="B8" i="16"/>
  <c r="B10" i="16" s="1"/>
  <c r="B8" i="15"/>
  <c r="B10" i="15" s="1"/>
  <c r="B8" i="11"/>
  <c r="B10" i="11" s="1"/>
  <c r="B8" i="10"/>
  <c r="B10" i="10" s="1"/>
  <c r="B8" i="6"/>
  <c r="B10" i="6" s="1"/>
  <c r="C6" i="2" s="1"/>
  <c r="B8" i="5"/>
  <c r="B10" i="5" s="1"/>
  <c r="C5" i="2" s="1"/>
  <c r="B8" i="20"/>
  <c r="B10" i="20" s="1"/>
  <c r="C3" i="5"/>
  <c r="C3" i="4"/>
  <c r="C4" i="2"/>
  <c r="C3" i="17"/>
  <c r="C17" i="2"/>
  <c r="C4" i="18"/>
  <c r="C8" i="18" s="1"/>
  <c r="C10" i="18" s="1"/>
  <c r="C3" i="9"/>
  <c r="C9" i="2"/>
  <c r="C4" i="13"/>
  <c r="C8" i="13" s="1"/>
  <c r="C10" i="13" s="1"/>
  <c r="B8" i="14"/>
  <c r="B10" i="14" s="1"/>
  <c r="B8" i="8"/>
  <c r="B10" i="8" s="1"/>
  <c r="B8" i="22"/>
  <c r="B10" i="22" s="1"/>
  <c r="B8" i="21"/>
  <c r="B10" i="21" s="1"/>
  <c r="C13" i="2"/>
  <c r="C8" i="12" l="1"/>
  <c r="C10" i="12" s="1"/>
  <c r="D3" i="12" s="1"/>
  <c r="C12" i="2"/>
  <c r="C7" i="2"/>
  <c r="C8" i="7"/>
  <c r="C10" i="7" s="1"/>
  <c r="C3" i="2"/>
  <c r="C3" i="3"/>
  <c r="C4" i="3" s="1"/>
  <c r="C8" i="3" s="1"/>
  <c r="C10" i="3" s="1"/>
  <c r="C3" i="6"/>
  <c r="C4" i="6" s="1"/>
  <c r="C3" i="19"/>
  <c r="C19" i="2"/>
  <c r="C3" i="16"/>
  <c r="C16" i="2"/>
  <c r="C3" i="15"/>
  <c r="C15" i="2"/>
  <c r="C3" i="11"/>
  <c r="C11" i="2"/>
  <c r="C3" i="10"/>
  <c r="C10" i="2"/>
  <c r="C3" i="20"/>
  <c r="C20" i="2"/>
  <c r="D3" i="18"/>
  <c r="D18" i="2"/>
  <c r="D3" i="13"/>
  <c r="D13" i="2"/>
  <c r="C3" i="14"/>
  <c r="C14" i="2"/>
  <c r="C4" i="4"/>
  <c r="C8" i="4" s="1"/>
  <c r="C10" i="4" s="1"/>
  <c r="D3" i="7"/>
  <c r="D7" i="2"/>
  <c r="C3" i="22"/>
  <c r="C22" i="2"/>
  <c r="C21" i="2"/>
  <c r="C3" i="21"/>
  <c r="C4" i="9"/>
  <c r="C8" i="9" s="1"/>
  <c r="C10" i="9" s="1"/>
  <c r="C3" i="8"/>
  <c r="C8" i="2"/>
  <c r="C4" i="17"/>
  <c r="C8" i="17" s="1"/>
  <c r="C10" i="17" s="1"/>
  <c r="C4" i="5"/>
  <c r="C8" i="5" s="1"/>
  <c r="C10" i="5" s="1"/>
  <c r="D12" i="2" l="1"/>
  <c r="C8" i="6"/>
  <c r="C10" i="6" s="1"/>
  <c r="D3" i="6" s="1"/>
  <c r="C4" i="19"/>
  <c r="C8" i="19" s="1"/>
  <c r="C10" i="19" s="1"/>
  <c r="C4" i="16"/>
  <c r="C8" i="16" s="1"/>
  <c r="C10" i="16" s="1"/>
  <c r="C4" i="15"/>
  <c r="C8" i="15" s="1"/>
  <c r="C10" i="15" s="1"/>
  <c r="C4" i="11"/>
  <c r="C8" i="11"/>
  <c r="C10" i="11" s="1"/>
  <c r="C4" i="10"/>
  <c r="C8" i="10" s="1"/>
  <c r="C10" i="10" s="1"/>
  <c r="C4" i="20"/>
  <c r="C8" i="20" s="1"/>
  <c r="C10" i="20" s="1"/>
  <c r="D3" i="5"/>
  <c r="D5" i="2"/>
  <c r="D3" i="4"/>
  <c r="D4" i="2"/>
  <c r="C4" i="21"/>
  <c r="C8" i="21" s="1"/>
  <c r="C10" i="21" s="1"/>
  <c r="C4" i="22"/>
  <c r="C8" i="22" s="1"/>
  <c r="C10" i="22" s="1"/>
  <c r="D4" i="13"/>
  <c r="D8" i="13" s="1"/>
  <c r="D10" i="13" s="1"/>
  <c r="D3" i="9"/>
  <c r="D9" i="2"/>
  <c r="D4" i="18"/>
  <c r="D8" i="18" s="1"/>
  <c r="D10" i="18" s="1"/>
  <c r="D4" i="12"/>
  <c r="D8" i="12" s="1"/>
  <c r="D10" i="12" s="1"/>
  <c r="D3" i="3"/>
  <c r="D3" i="2"/>
  <c r="D3" i="17"/>
  <c r="D17" i="2"/>
  <c r="D4" i="7"/>
  <c r="D8" i="7" s="1"/>
  <c r="D10" i="7" s="1"/>
  <c r="C4" i="14"/>
  <c r="C8" i="14" s="1"/>
  <c r="C10" i="14" s="1"/>
  <c r="C4" i="8"/>
  <c r="C8" i="8"/>
  <c r="C10" i="8" s="1"/>
  <c r="D6" i="2" l="1"/>
  <c r="D3" i="19"/>
  <c r="D4" i="19" s="1"/>
  <c r="D8" i="19" s="1"/>
  <c r="D10" i="19" s="1"/>
  <c r="D19" i="2"/>
  <c r="D3" i="16"/>
  <c r="D16" i="2"/>
  <c r="D3" i="15"/>
  <c r="D15" i="2"/>
  <c r="D11" i="2"/>
  <c r="D3" i="11"/>
  <c r="D3" i="10"/>
  <c r="D4" i="10" s="1"/>
  <c r="D8" i="10" s="1"/>
  <c r="D10" i="10" s="1"/>
  <c r="E3" i="10" s="1"/>
  <c r="D10" i="2"/>
  <c r="D3" i="20"/>
  <c r="D4" i="20" s="1"/>
  <c r="D8" i="20" s="1"/>
  <c r="D10" i="20" s="1"/>
  <c r="D20" i="2"/>
  <c r="E3" i="19"/>
  <c r="E19" i="2"/>
  <c r="D3" i="14"/>
  <c r="D14" i="2"/>
  <c r="E10" i="2"/>
  <c r="E3" i="18"/>
  <c r="E18" i="2"/>
  <c r="E3" i="13"/>
  <c r="E13" i="2"/>
  <c r="D3" i="8"/>
  <c r="D8" i="2"/>
  <c r="D4" i="3"/>
  <c r="D8" i="3" s="1"/>
  <c r="D10" i="3" s="1"/>
  <c r="D4" i="9"/>
  <c r="D8" i="9" s="1"/>
  <c r="D10" i="9" s="1"/>
  <c r="D3" i="22"/>
  <c r="D22" i="2"/>
  <c r="D4" i="6"/>
  <c r="D8" i="6" s="1"/>
  <c r="D10" i="6" s="1"/>
  <c r="D4" i="4"/>
  <c r="D8" i="4" s="1"/>
  <c r="D10" i="4" s="1"/>
  <c r="D3" i="21"/>
  <c r="D21" i="2"/>
  <c r="E3" i="12"/>
  <c r="E12" i="2"/>
  <c r="E3" i="7"/>
  <c r="E7" i="2"/>
  <c r="D4" i="17"/>
  <c r="D8" i="17" s="1"/>
  <c r="D10" i="17" s="1"/>
  <c r="D4" i="5"/>
  <c r="D8" i="5" s="1"/>
  <c r="D10" i="5" s="1"/>
  <c r="D4" i="16" l="1"/>
  <c r="D8" i="16" s="1"/>
  <c r="D10" i="16" s="1"/>
  <c r="D4" i="15"/>
  <c r="D8" i="15" s="1"/>
  <c r="D10" i="15" s="1"/>
  <c r="D4" i="11"/>
  <c r="D8" i="11" s="1"/>
  <c r="D10" i="11" s="1"/>
  <c r="E3" i="20"/>
  <c r="E20" i="2"/>
  <c r="E4" i="2"/>
  <c r="E3" i="4"/>
  <c r="E3" i="3"/>
  <c r="E3" i="2"/>
  <c r="E5" i="2"/>
  <c r="E3" i="5"/>
  <c r="E3" i="9"/>
  <c r="E9" i="2"/>
  <c r="E3" i="6"/>
  <c r="E6" i="2"/>
  <c r="E3" i="17"/>
  <c r="E17" i="2"/>
  <c r="E4" i="18"/>
  <c r="E8" i="18" s="1"/>
  <c r="E10" i="18" s="1"/>
  <c r="D4" i="14"/>
  <c r="D8" i="14" s="1"/>
  <c r="D10" i="14" s="1"/>
  <c r="E4" i="12"/>
  <c r="E8" i="12" s="1"/>
  <c r="E10" i="12" s="1"/>
  <c r="E4" i="10"/>
  <c r="E8" i="10" s="1"/>
  <c r="E10" i="10" s="1"/>
  <c r="D4" i="21"/>
  <c r="D8" i="21" s="1"/>
  <c r="D10" i="21" s="1"/>
  <c r="D4" i="8"/>
  <c r="D8" i="8" s="1"/>
  <c r="D10" i="8" s="1"/>
  <c r="E4" i="7"/>
  <c r="E8" i="7" s="1"/>
  <c r="E10" i="7" s="1"/>
  <c r="D4" i="22"/>
  <c r="D8" i="22" s="1"/>
  <c r="D10" i="22" s="1"/>
  <c r="E4" i="13"/>
  <c r="E8" i="13" s="1"/>
  <c r="E10" i="13" s="1"/>
  <c r="E4" i="19"/>
  <c r="E8" i="19" s="1"/>
  <c r="E10" i="19" s="1"/>
  <c r="E3" i="16" l="1"/>
  <c r="E4" i="16" s="1"/>
  <c r="E8" i="16" s="1"/>
  <c r="E10" i="16" s="1"/>
  <c r="F3" i="16" s="1"/>
  <c r="E16" i="2"/>
  <c r="E3" i="15"/>
  <c r="E15" i="2"/>
  <c r="E3" i="11"/>
  <c r="E11" i="2"/>
  <c r="E4" i="20"/>
  <c r="E8" i="20" s="1"/>
  <c r="E10" i="20" s="1"/>
  <c r="E3" i="21"/>
  <c r="E21" i="2"/>
  <c r="E3" i="8"/>
  <c r="E8" i="2"/>
  <c r="F3" i="13"/>
  <c r="F13" i="2"/>
  <c r="F3" i="7"/>
  <c r="F7" i="2"/>
  <c r="E4" i="5"/>
  <c r="E8" i="5" s="1"/>
  <c r="E10" i="5" s="1"/>
  <c r="E3" i="14"/>
  <c r="E14" i="2"/>
  <c r="F3" i="18"/>
  <c r="F18" i="2"/>
  <c r="E4" i="3"/>
  <c r="E8" i="3" s="1"/>
  <c r="E10" i="3" s="1"/>
  <c r="F3" i="19"/>
  <c r="F19" i="2"/>
  <c r="F3" i="10"/>
  <c r="F10" i="2"/>
  <c r="E22" i="2"/>
  <c r="E3" i="22"/>
  <c r="F3" i="12"/>
  <c r="F12" i="2"/>
  <c r="E4" i="4"/>
  <c r="E8" i="4"/>
  <c r="E10" i="4" s="1"/>
  <c r="E4" i="9"/>
  <c r="E8" i="9" s="1"/>
  <c r="E10" i="9" s="1"/>
  <c r="E4" i="17"/>
  <c r="E8" i="17" s="1"/>
  <c r="E10" i="17" s="1"/>
  <c r="E4" i="6"/>
  <c r="E8" i="6" s="1"/>
  <c r="E10" i="6" s="1"/>
  <c r="F16" i="2" l="1"/>
  <c r="E4" i="15"/>
  <c r="E8" i="15" s="1"/>
  <c r="E10" i="15" s="1"/>
  <c r="E4" i="11"/>
  <c r="E8" i="11" s="1"/>
  <c r="E10" i="11" s="1"/>
  <c r="F20" i="2"/>
  <c r="F3" i="20"/>
  <c r="F4" i="20" s="1"/>
  <c r="F8" i="20" s="1"/>
  <c r="F10" i="20" s="1"/>
  <c r="F3" i="6"/>
  <c r="F6" i="2"/>
  <c r="F3" i="9"/>
  <c r="F9" i="2"/>
  <c r="F3" i="5"/>
  <c r="F5" i="2"/>
  <c r="F3" i="17"/>
  <c r="F17" i="2"/>
  <c r="F4" i="16"/>
  <c r="F8" i="16" s="1"/>
  <c r="F10" i="16" s="1"/>
  <c r="E4" i="14"/>
  <c r="E8" i="14" s="1"/>
  <c r="E10" i="14" s="1"/>
  <c r="F4" i="12"/>
  <c r="F8" i="12" s="1"/>
  <c r="F10" i="12" s="1"/>
  <c r="E4" i="8"/>
  <c r="E8" i="8" s="1"/>
  <c r="E10" i="8" s="1"/>
  <c r="F3" i="4"/>
  <c r="F4" i="2"/>
  <c r="F3" i="3"/>
  <c r="F3" i="2"/>
  <c r="E4" i="22"/>
  <c r="E8" i="22" s="1"/>
  <c r="E10" i="22" s="1"/>
  <c r="F4" i="10"/>
  <c r="F8" i="10"/>
  <c r="F10" i="10" s="1"/>
  <c r="F4" i="19"/>
  <c r="F8" i="19" s="1"/>
  <c r="F10" i="19" s="1"/>
  <c r="F4" i="13"/>
  <c r="F8" i="13" s="1"/>
  <c r="F10" i="13" s="1"/>
  <c r="F4" i="18"/>
  <c r="F8" i="18" s="1"/>
  <c r="F10" i="18" s="1"/>
  <c r="F4" i="7"/>
  <c r="F8" i="7" s="1"/>
  <c r="F10" i="7" s="1"/>
  <c r="E4" i="21"/>
  <c r="E8" i="21" s="1"/>
  <c r="E10" i="21" s="1"/>
  <c r="F3" i="15" l="1"/>
  <c r="F4" i="15" s="1"/>
  <c r="F8" i="15" s="1"/>
  <c r="F10" i="15" s="1"/>
  <c r="G3" i="15" s="1"/>
  <c r="F15" i="2"/>
  <c r="F3" i="11"/>
  <c r="F4" i="11" s="1"/>
  <c r="F8" i="11" s="1"/>
  <c r="F10" i="11" s="1"/>
  <c r="G3" i="11" s="1"/>
  <c r="F11" i="2"/>
  <c r="G20" i="2"/>
  <c r="G3" i="20"/>
  <c r="G4" i="20" s="1"/>
  <c r="G8" i="20" s="1"/>
  <c r="G10" i="20" s="1"/>
  <c r="H3" i="20" s="1"/>
  <c r="F3" i="8"/>
  <c r="F8" i="2"/>
  <c r="G3" i="7"/>
  <c r="G7" i="2"/>
  <c r="G3" i="13"/>
  <c r="G13" i="2"/>
  <c r="G3" i="19"/>
  <c r="G19" i="2"/>
  <c r="F3" i="22"/>
  <c r="F22" i="2"/>
  <c r="F3" i="14"/>
  <c r="F14" i="2"/>
  <c r="F4" i="17"/>
  <c r="F8" i="17" s="1"/>
  <c r="F10" i="17" s="1"/>
  <c r="F3" i="21"/>
  <c r="F21" i="2"/>
  <c r="G3" i="18"/>
  <c r="G18" i="2"/>
  <c r="F4" i="3"/>
  <c r="F8" i="3" s="1"/>
  <c r="F10" i="3" s="1"/>
  <c r="F4" i="9"/>
  <c r="F8" i="9" s="1"/>
  <c r="F10" i="9" s="1"/>
  <c r="G9" i="2" s="1"/>
  <c r="G3" i="16"/>
  <c r="G16" i="2"/>
  <c r="G3" i="12"/>
  <c r="G12" i="2"/>
  <c r="F4" i="5"/>
  <c r="F8" i="5" s="1"/>
  <c r="F10" i="5" s="1"/>
  <c r="G3" i="10"/>
  <c r="G10" i="2"/>
  <c r="F4" i="4"/>
  <c r="F8" i="4" s="1"/>
  <c r="F10" i="4" s="1"/>
  <c r="F4" i="6"/>
  <c r="F8" i="6" s="1"/>
  <c r="F10" i="6" s="1"/>
  <c r="G15" i="2" l="1"/>
  <c r="G11" i="2"/>
  <c r="H20" i="2"/>
  <c r="G6" i="2"/>
  <c r="G3" i="6"/>
  <c r="G3" i="3"/>
  <c r="G3" i="2"/>
  <c r="G3" i="17"/>
  <c r="G17" i="2"/>
  <c r="G3" i="9"/>
  <c r="F4" i="14"/>
  <c r="F8" i="14" s="1"/>
  <c r="F10" i="14" s="1"/>
  <c r="G4" i="2"/>
  <c r="G3" i="4"/>
  <c r="G4" i="12"/>
  <c r="G8" i="12" s="1"/>
  <c r="G10" i="12" s="1"/>
  <c r="G4" i="16"/>
  <c r="G8" i="16" s="1"/>
  <c r="G10" i="16" s="1"/>
  <c r="G4" i="15"/>
  <c r="G8" i="15" s="1"/>
  <c r="G10" i="15" s="1"/>
  <c r="G4" i="19"/>
  <c r="G8" i="19" s="1"/>
  <c r="G10" i="19" s="1"/>
  <c r="G4" i="7"/>
  <c r="G8" i="7" s="1"/>
  <c r="G10" i="7" s="1"/>
  <c r="H4" i="20"/>
  <c r="H8" i="20" s="1"/>
  <c r="H10" i="20" s="1"/>
  <c r="F4" i="22"/>
  <c r="F8" i="22" s="1"/>
  <c r="F10" i="22" s="1"/>
  <c r="G4" i="18"/>
  <c r="G8" i="18"/>
  <c r="G10" i="18" s="1"/>
  <c r="F4" i="21"/>
  <c r="F8" i="21" s="1"/>
  <c r="F10" i="21" s="1"/>
  <c r="G4" i="10"/>
  <c r="G8" i="10" s="1"/>
  <c r="G10" i="10" s="1"/>
  <c r="G3" i="5"/>
  <c r="G5" i="2"/>
  <c r="G4" i="11"/>
  <c r="G8" i="11" s="1"/>
  <c r="G10" i="11" s="1"/>
  <c r="G4" i="13"/>
  <c r="G8" i="13" s="1"/>
  <c r="G10" i="13" s="1"/>
  <c r="F4" i="8"/>
  <c r="F8" i="8" s="1"/>
  <c r="F10" i="8" s="1"/>
  <c r="G8" i="2" l="1"/>
  <c r="G3" i="8"/>
  <c r="H3" i="15"/>
  <c r="H15" i="2"/>
  <c r="I20" i="2"/>
  <c r="I3" i="20"/>
  <c r="H3" i="13"/>
  <c r="H13" i="2"/>
  <c r="H3" i="7"/>
  <c r="H7" i="2"/>
  <c r="G3" i="21"/>
  <c r="G21" i="2"/>
  <c r="H3" i="11"/>
  <c r="H11" i="2"/>
  <c r="G22" i="2"/>
  <c r="G3" i="22"/>
  <c r="H3" i="19"/>
  <c r="H19" i="2"/>
  <c r="G3" i="14"/>
  <c r="G14" i="2"/>
  <c r="H3" i="10"/>
  <c r="H10" i="2"/>
  <c r="G4" i="9"/>
  <c r="G8" i="9" s="1"/>
  <c r="G10" i="9" s="1"/>
  <c r="H9" i="2" s="1"/>
  <c r="H3" i="16"/>
  <c r="H16" i="2"/>
  <c r="G4" i="3"/>
  <c r="G8" i="3" s="1"/>
  <c r="G10" i="3" s="1"/>
  <c r="G4" i="17"/>
  <c r="G8" i="17" s="1"/>
  <c r="G10" i="17" s="1"/>
  <c r="G4" i="4"/>
  <c r="G8" i="4" s="1"/>
  <c r="G10" i="4" s="1"/>
  <c r="G4" i="6"/>
  <c r="G8" i="6"/>
  <c r="G10" i="6" s="1"/>
  <c r="H3" i="12"/>
  <c r="H12" i="2"/>
  <c r="H3" i="18"/>
  <c r="H18" i="2"/>
  <c r="G4" i="5"/>
  <c r="G8" i="5"/>
  <c r="G10" i="5" s="1"/>
  <c r="H3" i="9" l="1"/>
  <c r="H3" i="3"/>
  <c r="H3" i="2"/>
  <c r="H3" i="4"/>
  <c r="H4" i="2"/>
  <c r="G4" i="22"/>
  <c r="G8" i="22" s="1"/>
  <c r="G10" i="22" s="1"/>
  <c r="I4" i="20"/>
  <c r="I8" i="20" s="1"/>
  <c r="I10" i="20" s="1"/>
  <c r="H4" i="13"/>
  <c r="H8" i="13" s="1"/>
  <c r="H10" i="13" s="1"/>
  <c r="H4" i="10"/>
  <c r="H8" i="10" s="1"/>
  <c r="H10" i="10" s="1"/>
  <c r="G4" i="21"/>
  <c r="G8" i="21" s="1"/>
  <c r="G10" i="21" s="1"/>
  <c r="H4" i="15"/>
  <c r="H8" i="15" s="1"/>
  <c r="H10" i="15" s="1"/>
  <c r="H3" i="5"/>
  <c r="H5" i="2"/>
  <c r="H4" i="18"/>
  <c r="H8" i="18" s="1"/>
  <c r="H10" i="18" s="1"/>
  <c r="H4" i="11"/>
  <c r="H8" i="11" s="1"/>
  <c r="H10" i="11" s="1"/>
  <c r="H4" i="12"/>
  <c r="H8" i="12" s="1"/>
  <c r="H10" i="12" s="1"/>
  <c r="G4" i="8"/>
  <c r="G8" i="8" s="1"/>
  <c r="G10" i="8" s="1"/>
  <c r="H3" i="17"/>
  <c r="H17" i="2"/>
  <c r="G4" i="14"/>
  <c r="G8" i="14" s="1"/>
  <c r="G10" i="14" s="1"/>
  <c r="H6" i="2"/>
  <c r="H3" i="6"/>
  <c r="H4" i="16"/>
  <c r="H8" i="16" s="1"/>
  <c r="H10" i="16" s="1"/>
  <c r="H4" i="19"/>
  <c r="H8" i="19" s="1"/>
  <c r="H10" i="19" s="1"/>
  <c r="H4" i="7"/>
  <c r="H8" i="7" s="1"/>
  <c r="H10" i="7" s="1"/>
  <c r="J3" i="20" l="1"/>
  <c r="J20" i="2"/>
  <c r="H3" i="14"/>
  <c r="H14" i="2"/>
  <c r="I3" i="16"/>
  <c r="I16" i="2"/>
  <c r="H3" i="22"/>
  <c r="H22" i="2"/>
  <c r="I3" i="11"/>
  <c r="I11" i="2"/>
  <c r="I3" i="7"/>
  <c r="I7" i="2"/>
  <c r="I3" i="15"/>
  <c r="I15" i="2"/>
  <c r="I3" i="12"/>
  <c r="I12" i="2"/>
  <c r="I3" i="10"/>
  <c r="I10" i="2"/>
  <c r="I3" i="18"/>
  <c r="I18" i="2"/>
  <c r="H3" i="21"/>
  <c r="H21" i="2"/>
  <c r="H3" i="8"/>
  <c r="H8" i="2"/>
  <c r="I3" i="19"/>
  <c r="I19" i="2"/>
  <c r="H4" i="4"/>
  <c r="H8" i="4" s="1"/>
  <c r="H10" i="4" s="1"/>
  <c r="H4" i="5"/>
  <c r="H8" i="5" s="1"/>
  <c r="H10" i="5" s="1"/>
  <c r="H4" i="3"/>
  <c r="H8" i="3" s="1"/>
  <c r="H10" i="3" s="1"/>
  <c r="I3" i="13"/>
  <c r="I13" i="2"/>
  <c r="H4" i="6"/>
  <c r="H8" i="6" s="1"/>
  <c r="H10" i="6" s="1"/>
  <c r="H4" i="17"/>
  <c r="H8" i="17" s="1"/>
  <c r="H10" i="17" s="1"/>
  <c r="H4" i="9"/>
  <c r="H8" i="9" s="1"/>
  <c r="H10" i="9" s="1"/>
  <c r="I9" i="2" s="1"/>
  <c r="I4" i="12" l="1"/>
  <c r="I8" i="12" s="1"/>
  <c r="I10" i="12" s="1"/>
  <c r="I3" i="2"/>
  <c r="I3" i="3"/>
  <c r="I3" i="5"/>
  <c r="I5" i="2"/>
  <c r="I6" i="2"/>
  <c r="I3" i="6"/>
  <c r="I4" i="7"/>
  <c r="I8" i="7" s="1"/>
  <c r="I10" i="7" s="1"/>
  <c r="I3" i="17"/>
  <c r="I17" i="2"/>
  <c r="I4" i="15"/>
  <c r="I8" i="15" s="1"/>
  <c r="I10" i="15" s="1"/>
  <c r="I4" i="16"/>
  <c r="I8" i="16"/>
  <c r="I10" i="16" s="1"/>
  <c r="I3" i="9"/>
  <c r="H4" i="8"/>
  <c r="H8" i="8" s="1"/>
  <c r="H10" i="8" s="1"/>
  <c r="H4" i="22"/>
  <c r="H8" i="22" s="1"/>
  <c r="H10" i="22" s="1"/>
  <c r="H4" i="21"/>
  <c r="H8" i="21" s="1"/>
  <c r="H10" i="21" s="1"/>
  <c r="I3" i="4"/>
  <c r="I4" i="2"/>
  <c r="I4" i="18"/>
  <c r="I8" i="18" s="1"/>
  <c r="I10" i="18" s="1"/>
  <c r="H4" i="14"/>
  <c r="H8" i="14" s="1"/>
  <c r="H10" i="14" s="1"/>
  <c r="I4" i="13"/>
  <c r="I8" i="13" s="1"/>
  <c r="I10" i="13" s="1"/>
  <c r="I4" i="19"/>
  <c r="I8" i="19" s="1"/>
  <c r="I10" i="19" s="1"/>
  <c r="I4" i="10"/>
  <c r="I8" i="10" s="1"/>
  <c r="I10" i="10" s="1"/>
  <c r="I4" i="11"/>
  <c r="I8" i="11" s="1"/>
  <c r="I10" i="11" s="1"/>
  <c r="J4" i="20"/>
  <c r="J8" i="20" s="1"/>
  <c r="J10" i="20" s="1"/>
  <c r="I3" i="8" l="1"/>
  <c r="I8" i="2"/>
  <c r="J3" i="15"/>
  <c r="J15" i="2"/>
  <c r="J3" i="11"/>
  <c r="J11" i="2"/>
  <c r="J3" i="7"/>
  <c r="J7" i="2"/>
  <c r="J3" i="13"/>
  <c r="J13" i="2"/>
  <c r="J3" i="12"/>
  <c r="J12" i="2"/>
  <c r="K3" i="20"/>
  <c r="K20" i="2"/>
  <c r="I3" i="21"/>
  <c r="I21" i="2"/>
  <c r="I4" i="6"/>
  <c r="I8" i="6" s="1"/>
  <c r="I10" i="6" s="1"/>
  <c r="I3" i="22"/>
  <c r="I22" i="2"/>
  <c r="J3" i="18"/>
  <c r="J18" i="2"/>
  <c r="I4" i="17"/>
  <c r="I8" i="17" s="1"/>
  <c r="I10" i="17" s="1"/>
  <c r="I4" i="5"/>
  <c r="I8" i="5" s="1"/>
  <c r="I10" i="5" s="1"/>
  <c r="J3" i="16"/>
  <c r="J16" i="2"/>
  <c r="I3" i="14"/>
  <c r="I14" i="2"/>
  <c r="J3" i="10"/>
  <c r="J10" i="2"/>
  <c r="I4" i="3"/>
  <c r="I8" i="3" s="1"/>
  <c r="I10" i="3" s="1"/>
  <c r="J3" i="19"/>
  <c r="J19" i="2"/>
  <c r="I4" i="4"/>
  <c r="I8" i="4" s="1"/>
  <c r="I10" i="4" s="1"/>
  <c r="I4" i="9"/>
  <c r="I8" i="9" s="1"/>
  <c r="I10" i="9" s="1"/>
  <c r="J5" i="2" l="1"/>
  <c r="J3" i="5"/>
  <c r="J3" i="9"/>
  <c r="J9" i="2"/>
  <c r="J3" i="3"/>
  <c r="J3" i="2"/>
  <c r="J3" i="17"/>
  <c r="J17" i="2"/>
  <c r="J3" i="4"/>
  <c r="J4" i="2"/>
  <c r="I4" i="21"/>
  <c r="I8" i="21" s="1"/>
  <c r="I10" i="21" s="1"/>
  <c r="J4" i="18"/>
  <c r="J8" i="18" s="1"/>
  <c r="J10" i="18" s="1"/>
  <c r="J4" i="19"/>
  <c r="J8" i="19" s="1"/>
  <c r="J10" i="19" s="1"/>
  <c r="J4" i="12"/>
  <c r="J8" i="12"/>
  <c r="J10" i="12" s="1"/>
  <c r="J4" i="15"/>
  <c r="J8" i="15" s="1"/>
  <c r="J10" i="15" s="1"/>
  <c r="J4" i="10"/>
  <c r="J8" i="10" s="1"/>
  <c r="J10" i="10" s="1"/>
  <c r="J4" i="7"/>
  <c r="J8" i="7" s="1"/>
  <c r="J10" i="7" s="1"/>
  <c r="I4" i="14"/>
  <c r="I8" i="14" s="1"/>
  <c r="I10" i="14" s="1"/>
  <c r="K4" i="20"/>
  <c r="K8" i="20" s="1"/>
  <c r="K10" i="20" s="1"/>
  <c r="L20" i="2" s="1"/>
  <c r="J3" i="6"/>
  <c r="J6" i="2"/>
  <c r="J4" i="11"/>
  <c r="J8" i="11" s="1"/>
  <c r="J10" i="11" s="1"/>
  <c r="J4" i="16"/>
  <c r="J8" i="16" s="1"/>
  <c r="J10" i="16" s="1"/>
  <c r="I4" i="22"/>
  <c r="I8" i="22" s="1"/>
  <c r="I10" i="22" s="1"/>
  <c r="J4" i="13"/>
  <c r="J8" i="13" s="1"/>
  <c r="J10" i="13" s="1"/>
  <c r="I4" i="8"/>
  <c r="I8" i="8" s="1"/>
  <c r="I10" i="8" s="1"/>
  <c r="J3" i="21" l="1"/>
  <c r="J21" i="2"/>
  <c r="K3" i="19"/>
  <c r="K19" i="2"/>
  <c r="K3" i="15"/>
  <c r="K15" i="2"/>
  <c r="J4" i="17"/>
  <c r="J8" i="17" s="1"/>
  <c r="J10" i="17" s="1"/>
  <c r="J3" i="8"/>
  <c r="J8" i="2"/>
  <c r="K3" i="11"/>
  <c r="K11" i="2"/>
  <c r="J4" i="6"/>
  <c r="J8" i="6" s="1"/>
  <c r="J10" i="6" s="1"/>
  <c r="K10" i="2"/>
  <c r="K3" i="10"/>
  <c r="J3" i="22"/>
  <c r="J22" i="2"/>
  <c r="J4" i="9"/>
  <c r="J8" i="9" s="1"/>
  <c r="J10" i="9" s="1"/>
  <c r="K18" i="2"/>
  <c r="K3" i="18"/>
  <c r="J3" i="14"/>
  <c r="J14" i="2"/>
  <c r="J4" i="5"/>
  <c r="J8" i="5"/>
  <c r="J10" i="5" s="1"/>
  <c r="K3" i="7"/>
  <c r="K7" i="2"/>
  <c r="K13" i="2"/>
  <c r="K3" i="13"/>
  <c r="J4" i="3"/>
  <c r="J8" i="3" s="1"/>
  <c r="J10" i="3" s="1"/>
  <c r="K3" i="16"/>
  <c r="K16" i="2"/>
  <c r="K3" i="12"/>
  <c r="K12" i="2"/>
  <c r="J4" i="4"/>
  <c r="J8" i="4" s="1"/>
  <c r="J10" i="4" s="1"/>
  <c r="K6" i="2" l="1"/>
  <c r="K3" i="6"/>
  <c r="K3" i="17"/>
  <c r="K17" i="2"/>
  <c r="K3" i="9"/>
  <c r="K9" i="2"/>
  <c r="K4" i="10"/>
  <c r="K8" i="10" s="1"/>
  <c r="K10" i="10" s="1"/>
  <c r="L10" i="2" s="1"/>
  <c r="J4" i="14"/>
  <c r="J8" i="14" s="1"/>
  <c r="J10" i="14" s="1"/>
  <c r="K4" i="18"/>
  <c r="K8" i="18" s="1"/>
  <c r="K10" i="18" s="1"/>
  <c r="L18" i="2" s="1"/>
  <c r="K3" i="4"/>
  <c r="K4" i="2"/>
  <c r="K4" i="19"/>
  <c r="K8" i="19" s="1"/>
  <c r="K10" i="19" s="1"/>
  <c r="L19" i="2" s="1"/>
  <c r="K3" i="3"/>
  <c r="K3" i="2"/>
  <c r="K4" i="13"/>
  <c r="K8" i="13" s="1"/>
  <c r="K10" i="13" s="1"/>
  <c r="L13" i="2" s="1"/>
  <c r="K4" i="15"/>
  <c r="K8" i="15" s="1"/>
  <c r="K10" i="15" s="1"/>
  <c r="L15" i="2" s="1"/>
  <c r="K5" i="2"/>
  <c r="K3" i="5"/>
  <c r="K4" i="12"/>
  <c r="K8" i="12" s="1"/>
  <c r="K10" i="12" s="1"/>
  <c r="L12" i="2" s="1"/>
  <c r="K4" i="7"/>
  <c r="K8" i="7" s="1"/>
  <c r="K10" i="7" s="1"/>
  <c r="L7" i="2" s="1"/>
  <c r="K4" i="11"/>
  <c r="K8" i="11" s="1"/>
  <c r="K10" i="11" s="1"/>
  <c r="L11" i="2" s="1"/>
  <c r="K4" i="16"/>
  <c r="K8" i="16" s="1"/>
  <c r="K10" i="16" s="1"/>
  <c r="L16" i="2" s="1"/>
  <c r="J4" i="22"/>
  <c r="J8" i="22" s="1"/>
  <c r="J10" i="22" s="1"/>
  <c r="J4" i="8"/>
  <c r="J8" i="8" s="1"/>
  <c r="J10" i="8" s="1"/>
  <c r="J4" i="21"/>
  <c r="J8" i="21" s="1"/>
  <c r="J10" i="21" s="1"/>
  <c r="K4" i="5" l="1"/>
  <c r="K8" i="5" s="1"/>
  <c r="K10" i="5" s="1"/>
  <c r="L5" i="2" s="1"/>
  <c r="K21" i="2"/>
  <c r="K3" i="21"/>
  <c r="K4" i="17"/>
  <c r="K8" i="17" s="1"/>
  <c r="K10" i="17" s="1"/>
  <c r="L17" i="2" s="1"/>
  <c r="K4" i="4"/>
  <c r="K8" i="4" s="1"/>
  <c r="K10" i="4" s="1"/>
  <c r="L4" i="2" s="1"/>
  <c r="K4" i="9"/>
  <c r="K8" i="9"/>
  <c r="K10" i="9" s="1"/>
  <c r="L9" i="2" s="1"/>
  <c r="K3" i="22"/>
  <c r="K22" i="2"/>
  <c r="K3" i="14"/>
  <c r="K14" i="2"/>
  <c r="K4" i="6"/>
  <c r="K8" i="6" s="1"/>
  <c r="K10" i="6" s="1"/>
  <c r="L6" i="2" s="1"/>
  <c r="K3" i="8"/>
  <c r="K8" i="2"/>
  <c r="K4" i="3"/>
  <c r="K8" i="3" s="1"/>
  <c r="K10" i="3" s="1"/>
  <c r="L3" i="2" s="1"/>
  <c r="K4" i="14" l="1"/>
  <c r="K8" i="14" s="1"/>
  <c r="K10" i="14" s="1"/>
  <c r="L14" i="2" s="1"/>
  <c r="K4" i="22"/>
  <c r="K8" i="22" s="1"/>
  <c r="K10" i="22" s="1"/>
  <c r="L22" i="2" s="1"/>
  <c r="K4" i="21"/>
  <c r="K8" i="21" s="1"/>
  <c r="K10" i="21" s="1"/>
  <c r="L21" i="2" s="1"/>
  <c r="K4" i="8"/>
  <c r="K8" i="8" s="1"/>
  <c r="K10" i="8" s="1"/>
  <c r="L8" i="2" s="1"/>
</calcChain>
</file>

<file path=xl/sharedStrings.xml><?xml version="1.0" encoding="utf-8"?>
<sst xmlns="http://schemas.openxmlformats.org/spreadsheetml/2006/main" count="554" uniqueCount="69">
  <si>
    <t>GDM INVENTORY SIMULATION — ASSUMPTIONS</t>
  </si>
  <si>
    <t>GLOBAL LOSS RATE ASSUMPTIONS</t>
  </si>
  <si>
    <t>Parameter</t>
  </si>
  <si>
    <t>Value</t>
  </si>
  <si>
    <t>Carryover quality loss</t>
  </si>
  <si>
    <t>New production quality loss</t>
  </si>
  <si>
    <t>PRODUCTION PARAMETERS BY ARCHETYPE × MATURITY BUCKET  (sourced from historical data)</t>
  </si>
  <si>
    <t>Archetype</t>
  </si>
  <si>
    <t>Maturity Bucket</t>
  </si>
  <si>
    <t>YF Mean</t>
  </si>
  <si>
    <t>YF Std Dev</t>
  </si>
  <si>
    <t>CR Mean</t>
  </si>
  <si>
    <t>CR Std Dev</t>
  </si>
  <si>
    <t xml:space="preserve"> </t>
  </si>
  <si>
    <t>≤85</t>
  </si>
  <si>
    <t>Bayer - Above ground</t>
  </si>
  <si>
    <t>86-95</t>
  </si>
  <si>
    <t>96-105</t>
  </si>
  <si>
    <t>106-115</t>
  </si>
  <si>
    <t>116+</t>
  </si>
  <si>
    <t>Bayer - Above/below ground</t>
  </si>
  <si>
    <t>Conventional</t>
  </si>
  <si>
    <t>Corteva - Above ground</t>
  </si>
  <si>
    <t>Syngenta - Above ground</t>
  </si>
  <si>
    <t>Syngenta - Above/below ground</t>
  </si>
  <si>
    <t>GDM INVENTORY SIMULATION  —  CARRYOVER INVENTORY SUMMARY  (Median Sales)</t>
  </si>
  <si>
    <t>Maturity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</si>
  <si>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</si>
  <si>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</si>
  <si>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</si>
  <si>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</si>
  <si>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</si>
  <si>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</si>
  <si>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</si>
  <si>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</si>
  <si>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</si>
  <si>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</si>
  <si>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INVENTORY LIFECYCLE  |  Bayer - Above ground  |  Maturity 85  |  Median Sales</t>
  </si>
  <si>
    <t>Line Item</t>
  </si>
  <si>
    <t>Carryover inventory from prior year</t>
  </si>
  <si>
    <t>Carryover quality loss (10%)</t>
  </si>
  <si>
    <t>Planned production (= next yr sales)</t>
  </si>
  <si>
    <t>New production (after yield &amp; conv.)</t>
  </si>
  <si>
    <t>Production quality loss (2%)</t>
  </si>
  <si>
    <t>Total saleable inventory</t>
  </si>
  <si>
    <t>Sales</t>
  </si>
  <si>
    <t>Remaining inventory (carryover out)</t>
  </si>
  <si>
    <t>Production Parameters Used</t>
  </si>
  <si>
    <t>Yield Factor (Mean)</t>
  </si>
  <si>
    <t>Conversion Rate (Mean)</t>
  </si>
  <si>
    <t>INVENTORY LIFECYCLE  |  Bayer - Above ground  |  Maturity 95  |  Median Sales</t>
  </si>
  <si>
    <t>INVENTORY LIFECYCLE  |  Bayer - Above ground  |  Maturity 105  |  Median Sales</t>
  </si>
  <si>
    <t>INVENTORY LIFECYCLE  |  Bayer - Above ground  |  Maturity 115  |  Median Sales</t>
  </si>
  <si>
    <t>INVENTORY LIFECYCLE  |  Bayer - Above/below ground  |  Maturity 85  |  Median Sales</t>
  </si>
  <si>
    <t>INVENTORY LIFECYCLE  |  Bayer - Above/below ground  |  Maturity 95  |  Median Sales</t>
  </si>
  <si>
    <t>INVENTORY LIFECYCLE  |  Bayer - Above/below ground  |  Maturity 105  |  Median Sales</t>
  </si>
  <si>
    <t>INVENTORY LIFECYCLE  |  Bayer - Above/below ground  |  Maturity 115  |  Median Sales</t>
  </si>
  <si>
    <t>INVENTORY LIFECYCLE  |  Conventional  |  Maturity 85  |  Median Sales</t>
  </si>
  <si>
    <t>INVENTORY LIFECYCLE  |  Conventional  |  Maturity 95  |  Median Sales</t>
  </si>
  <si>
    <t>INVENTORY LIFECYCLE  |  Conventional  |  Maturity 105  |  Median Sales</t>
  </si>
  <si>
    <t>INVENTORY LIFECYCLE  |  Conventional  |  Maturity 115  |  Median Sales</t>
  </si>
  <si>
    <t>INVENTORY LIFECYCLE  |  Syngenta - Above ground  |  Maturity 85  |  Median Sales</t>
  </si>
  <si>
    <t>INVENTORY LIFECYCLE  |  Syngenta - Above ground  |  Maturity 95  |  Median Sales</t>
  </si>
  <si>
    <t>INVENTORY LIFECYCLE  |  Syngenta - Above ground  |  Maturity 105  |  Median Sales</t>
  </si>
  <si>
    <t>INVENTORY LIFECYCLE  |  Syngenta - Above ground  |  Maturity 115  |  Median Sales</t>
  </si>
  <si>
    <t>INVENTORY LIFECYCLE  |  Syngenta - Above/below ground  |  Maturity 85  |  Median Sales</t>
  </si>
  <si>
    <t>INVENTORY LIFECYCLE  |  Syngenta - Above/below ground  |  Maturity 95  |  Median Sales</t>
  </si>
  <si>
    <t>INVENTORY LIFECYCLE  |  Syngenta - Above/below ground  |  Maturity 105  |  Median Sales</t>
  </si>
  <si>
    <t>INVENTORY LIFECYCLE  |  Syngenta - Above/below ground  |  Maturity 115  |  Median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</si>
</sst>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#,##0.0"/>
  </numFmts>
  <fonts count="12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1"/>
      <color rgb="FF00008B"/>
      <name val="Arial"/>
      <charset val="1"/>
    </font>
    <font>
      <sz val="11"/>
      <color rgb="FF000000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0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right" vertical="center"/>
    </xf>
    <xf numFmtId="1" fontId="6" fillId="7" borderId="1" xfId="0" applyNumberFormat="1" applyFont="1" applyFill="1" applyBorder="1" applyAlignment="1">
      <alignment horizontal="center"/>
    </xf>
    <xf numFmtId="3" fontId="6" fillId="7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left" vertical="center" indent="1"/>
    </xf>
    <xf numFmtId="3" fontId="5" fillId="8" borderId="1" xfId="0" applyNumberFormat="1" applyFont="1" applyFill="1" applyBorder="1" applyAlignment="1">
      <alignment horizontal="right" vertical="center"/>
    </xf>
    <xf numFmtId="3" fontId="6" fillId="8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indent="1"/>
    </xf>
    <xf numFmtId="3" fontId="6" fillId="9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 indent="1"/>
    </xf>
    <xf numFmtId="166" fontId="5" fillId="10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166" fontId="6" fillId="9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 indent="1"/>
    </xf>
    <xf numFmtId="166" fontId="10" fillId="6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 indent="1"/>
    </xf>
    <xf numFmtId="166" fontId="5" fillId="7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 indent="1"/>
    </xf>
    <xf numFmtId="166" fontId="10" fillId="8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/>
    </xf>
    <xf numFmtId="165" fontId="5" fillId="6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3"/>
  <sheetViews>
    <sheetView showGridLines="0" tabSelected="1" zoomScale="75" zoomScaleNormal="100" workbookViewId="0">
      <pane ySplit="9" topLeftCell="A10" activePane="bottomLeft" state="frozen"/>
      <selection pane="bottomLeft" activeCell="B10" sqref="B10"/>
    </sheetView>
  </sheetViews>
  <sheetFormatPr defaultColWidth="8.7109375" defaultRowHeight="14.45"/>
  <cols>
    <col min="1" max="1" width="38" customWidth="1"/>
    <col min="2" max="2" width="18" customWidth="1"/>
    <col min="3" max="6" width="22" customWidth="1"/>
  </cols>
  <sheetData>
    <row r="1" spans="1:6" ht="30" customHeight="1">
      <c r="A1" s="29" t="s">
        <v>0</v>
      </c>
      <c r="B1" s="29"/>
      <c r="C1" s="29"/>
      <c r="D1" s="29"/>
      <c r="E1" s="29"/>
      <c r="F1" s="29"/>
    </row>
    <row r="3" spans="1:6" ht="21.75" customHeight="1">
      <c r="A3" s="30" t="s">
        <v>1</v>
      </c>
      <c r="B3" s="30"/>
      <c r="C3" s="30"/>
      <c r="D3" s="30"/>
      <c r="E3" s="30"/>
      <c r="F3" s="30"/>
    </row>
    <row r="4" spans="1:6">
      <c r="A4" s="1" t="s">
        <v>2</v>
      </c>
      <c r="B4" s="1" t="s">
        <v>3</v>
      </c>
    </row>
    <row r="5" spans="1:6">
      <c r="A5" s="2" t="s">
        <v>4</v>
      </c>
      <c r="B5" s="3">
        <v>0.1</v>
      </c>
    </row>
    <row r="6" spans="1:6">
      <c r="A6" s="2" t="s">
        <v>5</v>
      </c>
      <c r="B6" s="3">
        <v>0.02</v>
      </c>
    </row>
    <row r="8" spans="1:6" ht="21.75" customHeight="1">
      <c r="A8" s="30" t="s">
        <v>6</v>
      </c>
      <c r="B8" s="30"/>
      <c r="C8" s="30"/>
      <c r="D8" s="30"/>
      <c r="E8" s="30"/>
      <c r="F8" s="30"/>
    </row>
    <row r="9" spans="1:6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6">
      <c r="A10" s="2" t="s">
        <v>13</v>
      </c>
      <c r="B10" s="2" t="s">
        <v>14</v>
      </c>
      <c r="C10" s="5">
        <v>1.0104</v>
      </c>
      <c r="D10" s="5">
        <v>0.25119999999999998</v>
      </c>
      <c r="E10" s="5">
        <v>1.0428999999999999</v>
      </c>
      <c r="F10" s="5">
        <v>8.9300000000000004E-2</v>
      </c>
    </row>
    <row r="11" spans="1:6">
      <c r="A11" s="4" t="s">
        <v>15</v>
      </c>
      <c r="B11" s="4" t="s">
        <v>16</v>
      </c>
      <c r="C11" s="6">
        <v>1.0349999999999999</v>
      </c>
      <c r="D11" s="6">
        <v>0.26989999999999997</v>
      </c>
      <c r="E11" s="6">
        <v>1.0052000000000001</v>
      </c>
      <c r="F11" s="6">
        <v>0.14760000000000001</v>
      </c>
    </row>
    <row r="12" spans="1:6">
      <c r="A12" s="2" t="s">
        <v>15</v>
      </c>
      <c r="B12" s="2" t="s">
        <v>17</v>
      </c>
      <c r="C12" s="5">
        <v>0.9899</v>
      </c>
      <c r="D12" s="5">
        <v>0.251</v>
      </c>
      <c r="E12" s="5">
        <v>1.0289999999999999</v>
      </c>
      <c r="F12" s="5">
        <v>0.1736</v>
      </c>
    </row>
    <row r="13" spans="1:6">
      <c r="A13" s="4" t="s">
        <v>15</v>
      </c>
      <c r="B13" s="4" t="s">
        <v>18</v>
      </c>
      <c r="C13" s="6">
        <v>0.99770000000000003</v>
      </c>
      <c r="D13" s="6">
        <v>0.26540000000000002</v>
      </c>
      <c r="E13" s="6">
        <v>1.0111000000000001</v>
      </c>
      <c r="F13" s="6">
        <v>0.16089999999999999</v>
      </c>
    </row>
    <row r="14" spans="1:6">
      <c r="A14" s="2" t="s">
        <v>15</v>
      </c>
      <c r="B14" s="2" t="s">
        <v>19</v>
      </c>
      <c r="C14" s="5">
        <v>0.96079999999999999</v>
      </c>
      <c r="D14" s="5">
        <v>0.26529999999999998</v>
      </c>
      <c r="E14" s="5">
        <v>0.9738</v>
      </c>
      <c r="F14" s="5">
        <v>0.15890000000000001</v>
      </c>
    </row>
    <row r="15" spans="1:6">
      <c r="A15" s="4" t="s">
        <v>20</v>
      </c>
      <c r="B15" s="4" t="s">
        <v>16</v>
      </c>
      <c r="C15" s="6">
        <v>1.0631999999999999</v>
      </c>
      <c r="D15" s="6">
        <v>0.3422</v>
      </c>
      <c r="E15" s="6">
        <v>1.0427999999999999</v>
      </c>
      <c r="F15" s="6">
        <v>0.13200000000000001</v>
      </c>
    </row>
    <row r="16" spans="1:6">
      <c r="A16" s="2" t="s">
        <v>20</v>
      </c>
      <c r="B16" s="2" t="s">
        <v>17</v>
      </c>
      <c r="C16" s="5">
        <v>0.94650000000000001</v>
      </c>
      <c r="D16" s="5">
        <v>0.26479999999999998</v>
      </c>
      <c r="E16" s="5">
        <v>1.0650999999999999</v>
      </c>
      <c r="F16" s="5">
        <v>0.185</v>
      </c>
    </row>
    <row r="17" spans="1:6">
      <c r="A17" s="4" t="s">
        <v>20</v>
      </c>
      <c r="B17" s="4" t="s">
        <v>18</v>
      </c>
      <c r="C17" s="6">
        <v>1.0428999999999999</v>
      </c>
      <c r="D17" s="6">
        <v>0.24229999999999999</v>
      </c>
      <c r="E17" s="6">
        <v>1.0136000000000001</v>
      </c>
      <c r="F17" s="6">
        <v>0.1588</v>
      </c>
    </row>
    <row r="18" spans="1:6">
      <c r="A18" s="2" t="s">
        <v>20</v>
      </c>
      <c r="B18" s="2" t="s">
        <v>19</v>
      </c>
      <c r="C18" s="5">
        <v>0.99329999999999996</v>
      </c>
      <c r="D18" s="5">
        <v>0.3286</v>
      </c>
      <c r="E18" s="5">
        <v>1.1016999999999999</v>
      </c>
      <c r="F18" s="5">
        <v>0.3412</v>
      </c>
    </row>
    <row r="19" spans="1:6">
      <c r="A19" s="4" t="s">
        <v>21</v>
      </c>
      <c r="B19" s="4" t="s">
        <v>14</v>
      </c>
      <c r="C19" s="6">
        <v>1.1737</v>
      </c>
      <c r="D19" s="6">
        <v>0.22900000000000001</v>
      </c>
      <c r="E19" s="6">
        <v>1.0067999999999999</v>
      </c>
      <c r="F19" s="6">
        <v>0.1336</v>
      </c>
    </row>
    <row r="20" spans="1:6">
      <c r="A20" s="2" t="s">
        <v>21</v>
      </c>
      <c r="B20" s="2" t="s">
        <v>16</v>
      </c>
      <c r="C20" s="5">
        <v>1.0980000000000001</v>
      </c>
      <c r="D20" s="5">
        <v>0.2369</v>
      </c>
      <c r="E20" s="5">
        <v>0.9667</v>
      </c>
      <c r="F20" s="5">
        <v>0.13739999999999999</v>
      </c>
    </row>
    <row r="21" spans="1:6">
      <c r="A21" s="4" t="s">
        <v>21</v>
      </c>
      <c r="B21" s="4" t="s">
        <v>17</v>
      </c>
      <c r="C21" s="6">
        <v>1.0488999999999999</v>
      </c>
      <c r="D21" s="6">
        <v>0.31</v>
      </c>
      <c r="E21" s="6">
        <v>0.97570000000000001</v>
      </c>
      <c r="F21" s="6">
        <v>0.17460000000000001</v>
      </c>
    </row>
    <row r="22" spans="1:6">
      <c r="A22" s="2" t="s">
        <v>21</v>
      </c>
      <c r="B22" s="2" t="s">
        <v>18</v>
      </c>
      <c r="C22" s="5">
        <v>0.98629999999999995</v>
      </c>
      <c r="D22" s="5">
        <v>0.2772</v>
      </c>
      <c r="E22" s="5">
        <v>0.97109999999999996</v>
      </c>
      <c r="F22" s="5">
        <v>0.155</v>
      </c>
    </row>
    <row r="23" spans="1:6">
      <c r="A23" s="4" t="s">
        <v>21</v>
      </c>
      <c r="B23" s="4" t="s">
        <v>19</v>
      </c>
      <c r="C23" s="6">
        <v>0.98760000000000003</v>
      </c>
      <c r="D23" s="6">
        <v>0.25990000000000002</v>
      </c>
      <c r="E23" s="6">
        <v>0.91400000000000003</v>
      </c>
      <c r="F23" s="6">
        <v>0.1163</v>
      </c>
    </row>
    <row r="24" spans="1:6">
      <c r="A24" s="2" t="s">
        <v>22</v>
      </c>
      <c r="B24" s="2" t="s">
        <v>18</v>
      </c>
      <c r="C24" s="5">
        <v>1.1556999999999999</v>
      </c>
      <c r="D24" s="5">
        <v>6.9099999999999995E-2</v>
      </c>
      <c r="E24" s="5">
        <v>0.87960000000000005</v>
      </c>
      <c r="F24" s="5">
        <v>5.74E-2</v>
      </c>
    </row>
    <row r="25" spans="1:6">
      <c r="A25" s="4" t="s">
        <v>23</v>
      </c>
      <c r="B25" s="4" t="s">
        <v>14</v>
      </c>
      <c r="C25" s="6">
        <v>1.1884999999999999</v>
      </c>
      <c r="D25" s="6">
        <v>0.12920000000000001</v>
      </c>
      <c r="E25" s="6">
        <v>1.1019000000000001</v>
      </c>
      <c r="F25" s="6">
        <v>9.7000000000000003E-2</v>
      </c>
    </row>
    <row r="26" spans="1:6">
      <c r="A26" s="2" t="s">
        <v>23</v>
      </c>
      <c r="B26" s="2" t="s">
        <v>16</v>
      </c>
      <c r="C26" s="5">
        <v>1.1505000000000001</v>
      </c>
      <c r="D26" s="5">
        <v>0.35759999999999997</v>
      </c>
      <c r="E26" s="5">
        <v>1.0809</v>
      </c>
      <c r="F26" s="5">
        <v>6.3500000000000001E-2</v>
      </c>
    </row>
    <row r="27" spans="1:6">
      <c r="A27" s="4" t="s">
        <v>23</v>
      </c>
      <c r="B27" s="4" t="s">
        <v>17</v>
      </c>
      <c r="C27" s="6">
        <v>0.87450000000000006</v>
      </c>
      <c r="D27" s="6">
        <v>0.22</v>
      </c>
      <c r="E27" s="6">
        <v>0.94910000000000005</v>
      </c>
      <c r="F27" s="6">
        <v>0.182</v>
      </c>
    </row>
    <row r="28" spans="1:6">
      <c r="A28" s="2" t="s">
        <v>23</v>
      </c>
      <c r="B28" s="2" t="s">
        <v>18</v>
      </c>
      <c r="C28" s="5">
        <v>0.83479999999999999</v>
      </c>
      <c r="D28" s="5">
        <v>0.28249999999999997</v>
      </c>
      <c r="E28" s="5">
        <v>1.0263</v>
      </c>
      <c r="F28" s="5">
        <v>0.16600000000000001</v>
      </c>
    </row>
    <row r="29" spans="1:6">
      <c r="A29" s="4" t="s">
        <v>23</v>
      </c>
      <c r="B29" s="4" t="s">
        <v>19</v>
      </c>
      <c r="C29" s="6">
        <v>0.90790000000000004</v>
      </c>
      <c r="D29" s="6">
        <v>0.246</v>
      </c>
      <c r="E29" s="6">
        <v>0.92490000000000006</v>
      </c>
      <c r="F29" s="6">
        <v>8.9899999999999994E-2</v>
      </c>
    </row>
    <row r="30" spans="1:6">
      <c r="A30" s="2" t="s">
        <v>24</v>
      </c>
      <c r="B30" s="2" t="s">
        <v>16</v>
      </c>
      <c r="C30" s="5">
        <v>0.96450000000000002</v>
      </c>
      <c r="D30" s="5">
        <v>0.37769999999999998</v>
      </c>
      <c r="E30" s="5">
        <v>1.0723</v>
      </c>
      <c r="F30" s="5">
        <v>9.9400000000000002E-2</v>
      </c>
    </row>
    <row r="31" spans="1:6">
      <c r="A31" s="4" t="s">
        <v>24</v>
      </c>
      <c r="B31" s="4" t="s">
        <v>17</v>
      </c>
      <c r="C31" s="6">
        <v>0.92079999999999995</v>
      </c>
      <c r="D31" s="6">
        <v>0.1825</v>
      </c>
      <c r="E31" s="6">
        <v>1.0169999999999999</v>
      </c>
      <c r="F31" s="6">
        <v>0.2167</v>
      </c>
    </row>
    <row r="32" spans="1:6">
      <c r="A32" s="2" t="s">
        <v>24</v>
      </c>
      <c r="B32" s="2" t="s">
        <v>18</v>
      </c>
      <c r="C32" s="5">
        <v>1.0691999999999999</v>
      </c>
      <c r="D32" s="5">
        <v>0.29920000000000002</v>
      </c>
      <c r="E32" s="5">
        <v>0.97740000000000005</v>
      </c>
      <c r="F32" s="5">
        <v>0.20780000000000001</v>
      </c>
    </row>
    <row r="33" spans="1:6">
      <c r="A33" s="4" t="s">
        <v>24</v>
      </c>
      <c r="B33" s="4" t="s">
        <v>19</v>
      </c>
      <c r="C33" s="6">
        <v>0.82669999999999999</v>
      </c>
      <c r="D33" s="6">
        <v>0.2324</v>
      </c>
      <c r="E33" s="6">
        <v>1.0843</v>
      </c>
      <c r="F33" s="6">
        <v>0.15559999999999999</v>
      </c>
    </row>
  </sheetData>
  <mergeCells count="3">
    <mergeCell ref="A1:F1"/>
    <mergeCell ref="A3:F3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2"/>
  <sheetViews>
    <sheetView showGridLines="0" zoomScaleNormal="100" workbookViewId="0">
      <pane xSplit="2" ySplit="2" topLeftCell="C3" activePane="bottomRight" state="frozen"/>
      <selection pane="bottomRight" activeCell="A3" sqref="A3"/>
      <selection pane="bottomLeft" activeCell="A3" sqref="A3"/>
      <selection pane="topRight" activeCell="C1" sqref="C1"/>
    </sheetView>
  </sheetViews>
  <sheetFormatPr defaultColWidth="8.7109375" defaultRowHeight="14.45"/>
  <cols>
    <col min="1" max="1" width="32" customWidth="1"/>
    <col min="2" max="2" width="12" customWidth="1"/>
    <col min="3" max="13" width="13" customWidth="1"/>
  </cols>
  <sheetData>
    <row r="1" spans="1:12" ht="30" customHeight="1">
      <c r="A1" s="29" t="s">
        <v>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1.75" customHeight="1">
      <c r="A2" s="1" t="s">
        <v>7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</row>
    <row r="3" spans="1:12" ht="18" customHeight="1">
      <c r="A3" s="2" t="s">
        <v>15</v>
      </c>
      <c r="B3" s="7">
        <v>85</v>
      </c>
      <c r="C3" s="8">
        <f>Bayer__Above_ground_85!B10</f>
        <v>10930.795851879775</v>
      </c>
      <c r="D3" s="8">
        <f>Bayer__Above_ground_85!C10</f>
        <v>8825.6347887394932</v>
      </c>
      <c r="E3" s="8">
        <f>Bayer__Above_ground_85!D10</f>
        <v>6492.0999252133206</v>
      </c>
      <c r="F3" s="8">
        <f>Bayer__Above_ground_85!E10</f>
        <v>4716.7812407095553</v>
      </c>
      <c r="G3" s="8">
        <f>Bayer__Above_ground_85!F10</f>
        <v>3171.652512876728</v>
      </c>
      <c r="H3" s="8">
        <f>Bayer__Above_ground_85!G10</f>
        <v>2591.2772615890553</v>
      </c>
      <c r="I3" s="8">
        <f>Bayer__Above_ground_85!H10</f>
        <v>2332.1495354301496</v>
      </c>
      <c r="J3" s="8">
        <f>Bayer__Above_ground_85!I10</f>
        <v>2098.9345818871348</v>
      </c>
      <c r="K3" s="8">
        <f>Bayer__Above_ground_85!J10</f>
        <v>1889.0411236984212</v>
      </c>
      <c r="L3" s="8">
        <f>Bayer__Above_ground_85!K10</f>
        <v>1700.1370113285791</v>
      </c>
    </row>
    <row r="4" spans="1:12" ht="18" customHeight="1">
      <c r="A4" s="4" t="s">
        <v>15</v>
      </c>
      <c r="B4" s="9">
        <v>95</v>
      </c>
      <c r="C4" s="10">
        <f>Bayer__Above_ground_95!B10</f>
        <v>11424.261634497198</v>
      </c>
      <c r="D4" s="10">
        <f>Bayer__Above_ground_95!C10</f>
        <v>8969.6084020634808</v>
      </c>
      <c r="E4" s="10">
        <f>Bayer__Above_ground_95!D10</f>
        <v>6129.9605851451342</v>
      </c>
      <c r="F4" s="10">
        <f>Bayer__Above_ground_95!E10</f>
        <v>3696.9270122002208</v>
      </c>
      <c r="G4" s="10">
        <f>Bayer__Above_ground_95!F10</f>
        <v>1483.0372192029986</v>
      </c>
      <c r="H4" s="10">
        <f>Bayer__Above_ground_95!G10</f>
        <v>487.9254249422986</v>
      </c>
      <c r="I4" s="10">
        <f>Bayer__Above_ground_95!H10</f>
        <v>321.02288244806874</v>
      </c>
      <c r="J4" s="10">
        <f>Bayer__Above_ground_95!I10</f>
        <v>288.92059420326189</v>
      </c>
      <c r="K4" s="10">
        <f>Bayer__Above_ground_95!J10</f>
        <v>260.02853478293571</v>
      </c>
      <c r="L4" s="10">
        <f>Bayer__Above_ground_95!K10</f>
        <v>234.02568130464215</v>
      </c>
    </row>
    <row r="5" spans="1:12" ht="18" customHeight="1">
      <c r="A5" s="2" t="s">
        <v>15</v>
      </c>
      <c r="B5" s="7">
        <v>105</v>
      </c>
      <c r="C5" s="8">
        <f>Bayer__Above_ground_105!B10</f>
        <v>11874.900377076658</v>
      </c>
      <c r="D5" s="8">
        <f>Bayer__Above_ground_105!C10</f>
        <v>8926.2290026449082</v>
      </c>
      <c r="E5" s="8">
        <f>Bayer__Above_ground_105!D10</f>
        <v>5150.352501295476</v>
      </c>
      <c r="F5" s="8">
        <f>Bayer__Above_ground_105!E10</f>
        <v>2215.8003842219678</v>
      </c>
      <c r="G5" s="8">
        <f>Bayer__Above_ground_105!F10</f>
        <v>-649.81527467764954</v>
      </c>
      <c r="H5" s="8">
        <f>Bayer__Above_ground_105!G10</f>
        <v>-1903.9924775178647</v>
      </c>
      <c r="I5" s="8">
        <f>Bayer__Above_ground_105!H10</f>
        <v>-2188.783229766078</v>
      </c>
      <c r="J5" s="8">
        <f>Bayer__Above_ground_105!I10</f>
        <v>-1969.9049067894703</v>
      </c>
      <c r="K5" s="8">
        <f>Bayer__Above_ground_105!J10</f>
        <v>-1772.9144161105232</v>
      </c>
      <c r="L5" s="8">
        <f>Bayer__Above_ground_105!K10</f>
        <v>-1595.622974499471</v>
      </c>
    </row>
    <row r="6" spans="1:12" ht="18" customHeight="1">
      <c r="A6" s="4" t="s">
        <v>15</v>
      </c>
      <c r="B6" s="9">
        <v>115</v>
      </c>
      <c r="C6" s="10">
        <f>Bayer__Above_ground_115!B10</f>
        <v>12371.267958794753</v>
      </c>
      <c r="D6" s="10">
        <f>Bayer__Above_ground_115!C10</f>
        <v>9528.9435447626984</v>
      </c>
      <c r="E6" s="10">
        <f>Bayer__Above_ground_115!D10</f>
        <v>5248.0100791776058</v>
      </c>
      <c r="F6" s="10">
        <f>Bayer__Above_ground_115!E10</f>
        <v>2006.3073251782325</v>
      </c>
      <c r="G6" s="10">
        <f>Bayer__Above_ground_115!F10</f>
        <v>-946.45110273641922</v>
      </c>
      <c r="H6" s="10">
        <f>Bayer__Above_ground_115!G10</f>
        <v>-2192.7450042164432</v>
      </c>
      <c r="I6" s="10">
        <f>Bayer__Above_ground_115!H10</f>
        <v>-2430.3605037947987</v>
      </c>
      <c r="J6" s="10">
        <f>Bayer__Above_ground_115!I10</f>
        <v>-2187.3244534153187</v>
      </c>
      <c r="K6" s="10">
        <f>Bayer__Above_ground_115!J10</f>
        <v>-1968.5920080737867</v>
      </c>
      <c r="L6" s="10">
        <f>Bayer__Above_ground_115!K10</f>
        <v>-1771.7328072664081</v>
      </c>
    </row>
    <row r="7" spans="1:12" ht="18" customHeight="1">
      <c r="A7" s="2" t="s">
        <v>20</v>
      </c>
      <c r="B7" s="7">
        <v>85</v>
      </c>
      <c r="C7" s="8">
        <f>Bayer__Above_below_85!B10</f>
        <v>10237.083200000001</v>
      </c>
      <c r="D7" s="8">
        <f>Bayer__Above_below_85!C10</f>
        <v>8023.8926800000008</v>
      </c>
      <c r="E7" s="8">
        <f>Bayer__Above_below_85!D10</f>
        <v>5854.498012</v>
      </c>
      <c r="F7" s="8">
        <f>Bayer__Above_below_85!E10</f>
        <v>4308.7226107999995</v>
      </c>
      <c r="G7" s="8">
        <f>Bayer__Above_below_85!F10</f>
        <v>3100.1811497199997</v>
      </c>
      <c r="H7" s="8">
        <f>Bayer__Above_below_85!G10</f>
        <v>2622.7030347479995</v>
      </c>
      <c r="I7" s="8">
        <f>Bayer__Above_below_85!H10</f>
        <v>2360.4327312731994</v>
      </c>
      <c r="J7" s="8">
        <f>Bayer__Above_below_85!I10</f>
        <v>2124.3894581458794</v>
      </c>
      <c r="K7" s="8">
        <f>Bayer__Above_below_85!J10</f>
        <v>1911.9505123312915</v>
      </c>
      <c r="L7" s="8">
        <f>Bayer__Above_below_85!K10</f>
        <v>1720.7554610981624</v>
      </c>
    </row>
    <row r="8" spans="1:12" ht="18" customHeight="1">
      <c r="A8" s="4" t="s">
        <v>20</v>
      </c>
      <c r="B8" s="9">
        <v>95</v>
      </c>
      <c r="C8" s="10">
        <f>Bayer__Above_below_95!B10</f>
        <v>11180.415756603648</v>
      </c>
      <c r="D8" s="10">
        <f>Bayer__Above_below_95!C10</f>
        <v>8900.9989415460986</v>
      </c>
      <c r="E8" s="10">
        <f>Bayer__Above_below_95!D10</f>
        <v>6334.4702682391053</v>
      </c>
      <c r="F8" s="10">
        <f>Bayer__Above_below_95!E10</f>
        <v>4553.5001918142989</v>
      </c>
      <c r="G8" s="10">
        <f>Bayer__Above_below_95!F10</f>
        <v>3013.4199046319727</v>
      </c>
      <c r="H8" s="10">
        <f>Bayer__Above_below_95!G10</f>
        <v>2250.0226986028233</v>
      </c>
      <c r="I8" s="10">
        <f>Bayer__Above_below_95!H10</f>
        <v>2021.9604287425409</v>
      </c>
      <c r="J8" s="10">
        <f>Bayer__Above_below_95!I10</f>
        <v>1819.7643858682868</v>
      </c>
      <c r="K8" s="10">
        <f>Bayer__Above_below_95!J10</f>
        <v>1637.7879472814582</v>
      </c>
      <c r="L8" s="10">
        <f>Bayer__Above_below_95!K10</f>
        <v>1474.0091525533123</v>
      </c>
    </row>
    <row r="9" spans="1:12" ht="18" customHeight="1">
      <c r="A9" s="2" t="s">
        <v>20</v>
      </c>
      <c r="B9" s="7">
        <v>105</v>
      </c>
      <c r="C9" s="8">
        <f>Bayer__Above_below_105!B10</f>
        <v>11402.535219931688</v>
      </c>
      <c r="D9" s="8">
        <f>Bayer__Above_below_105!C10</f>
        <v>8370.4969602174588</v>
      </c>
      <c r="E9" s="8">
        <f>Bayer__Above_below_105!D10</f>
        <v>4755.6581262752115</v>
      </c>
      <c r="F9" s="8">
        <f>Bayer__Above_below_105!E10</f>
        <v>2106.9946087807502</v>
      </c>
      <c r="G9" s="8">
        <f>Bayer__Above_below_105!F10</f>
        <v>-264.2311637476646</v>
      </c>
      <c r="H9" s="8">
        <f>Bayer__Above_below_105!G10</f>
        <v>-1176.2969241352482</v>
      </c>
      <c r="I9" s="8">
        <f>Bayer__Above_below_105!H10</f>
        <v>-1312.6172317217236</v>
      </c>
      <c r="J9" s="8">
        <f>Bayer__Above_below_105!I10</f>
        <v>-1181.3555085495511</v>
      </c>
      <c r="K9" s="8">
        <f>Bayer__Above_below_105!J10</f>
        <v>-1063.2199576945959</v>
      </c>
      <c r="L9" s="8">
        <f>Bayer__Above_below_105!K10</f>
        <v>-956.89796192513631</v>
      </c>
    </row>
    <row r="10" spans="1:12" ht="18" customHeight="1">
      <c r="A10" s="4" t="s">
        <v>20</v>
      </c>
      <c r="B10" s="9">
        <v>115</v>
      </c>
      <c r="C10" s="10">
        <f>Bayer__Above_below_115!B10</f>
        <v>12291.014705736463</v>
      </c>
      <c r="D10" s="10">
        <f>Bayer__Above_below_115!C10</f>
        <v>9364.2245122888035</v>
      </c>
      <c r="E10" s="10">
        <f>Bayer__Above_below_115!D10</f>
        <v>5997.8373261572015</v>
      </c>
      <c r="F10" s="10">
        <f>Bayer__Above_below_115!E10</f>
        <v>3299.1788044721525</v>
      </c>
      <c r="G10" s="10">
        <f>Bayer__Above_below_115!F10</f>
        <v>920.29419345468114</v>
      </c>
      <c r="H10" s="10">
        <f>Bayer__Above_below_115!G10</f>
        <v>-147.66460109304285</v>
      </c>
      <c r="I10" s="10">
        <f>Bayer__Above_below_115!H10</f>
        <v>-385.26814098373859</v>
      </c>
      <c r="J10" s="10">
        <f>Bayer__Above_below_115!I10</f>
        <v>-346.74132688536474</v>
      </c>
      <c r="K10" s="10">
        <f>Bayer__Above_below_115!J10</f>
        <v>-312.06719419682827</v>
      </c>
      <c r="L10" s="10">
        <f>Bayer__Above_below_115!K10</f>
        <v>-280.86047477714544</v>
      </c>
    </row>
    <row r="11" spans="1:12" ht="18" customHeight="1">
      <c r="A11" s="2" t="s">
        <v>21</v>
      </c>
      <c r="B11" s="7">
        <v>85</v>
      </c>
      <c r="C11" s="8">
        <f>Conventional_85!B10</f>
        <v>10696.141475356775</v>
      </c>
      <c r="D11" s="8">
        <f>Conventional_85!C10</f>
        <v>9244.2487827843215</v>
      </c>
      <c r="E11" s="8">
        <f>Conventional_85!D10</f>
        <v>7582.5949553277351</v>
      </c>
      <c r="F11" s="8">
        <f>Conventional_85!E10</f>
        <v>6251.1485639955381</v>
      </c>
      <c r="G11" s="8">
        <f>Conventional_85!F10</f>
        <v>5137.8426822648571</v>
      </c>
      <c r="H11" s="8">
        <f>Conventional_85!G10</f>
        <v>4599.7684140383717</v>
      </c>
      <c r="I11" s="8">
        <f>Conventional_85!H10</f>
        <v>4139.7915726345345</v>
      </c>
      <c r="J11" s="8">
        <f>Conventional_85!I10</f>
        <v>3725.812415371081</v>
      </c>
      <c r="K11" s="8">
        <f>Conventional_85!J10</f>
        <v>3353.2311738339731</v>
      </c>
      <c r="L11" s="8">
        <f>Conventional_85!K10</f>
        <v>3017.9080564505757</v>
      </c>
    </row>
    <row r="12" spans="1:12" ht="18" customHeight="1">
      <c r="A12" s="4" t="s">
        <v>21</v>
      </c>
      <c r="B12" s="9">
        <v>95</v>
      </c>
      <c r="C12" s="10">
        <f>Conventional_95!B10</f>
        <v>10588.88931275976</v>
      </c>
      <c r="D12" s="10">
        <f>Conventional_95!C10</f>
        <v>8702.144673087585</v>
      </c>
      <c r="E12" s="10">
        <f>Conventional_95!D10</f>
        <v>6675.6414290876655</v>
      </c>
      <c r="F12" s="10">
        <f>Conventional_95!E10</f>
        <v>5184.548966165019</v>
      </c>
      <c r="G12" s="10">
        <f>Conventional_95!F10</f>
        <v>3972.0309558153167</v>
      </c>
      <c r="H12" s="10">
        <f>Conventional_95!G10</f>
        <v>3464.7278602337851</v>
      </c>
      <c r="I12" s="10">
        <f>Conventional_95!H10</f>
        <v>3118.2550742104067</v>
      </c>
      <c r="J12" s="10">
        <f>Conventional_95!I10</f>
        <v>2806.4295667893662</v>
      </c>
      <c r="K12" s="10">
        <f>Conventional_95!J10</f>
        <v>2525.7866101104296</v>
      </c>
      <c r="L12" s="10">
        <f>Conventional_95!K10</f>
        <v>2273.2079490993865</v>
      </c>
    </row>
    <row r="13" spans="1:12" ht="18" customHeight="1">
      <c r="A13" s="2" t="s">
        <v>21</v>
      </c>
      <c r="B13" s="7">
        <v>105</v>
      </c>
      <c r="C13" s="8">
        <f>Conventional_105!B10</f>
        <v>10085.37306070603</v>
      </c>
      <c r="D13" s="8">
        <f>Conventional_105!C10</f>
        <v>8004.3020694816023</v>
      </c>
      <c r="E13" s="8">
        <f>Conventional_105!D10</f>
        <v>5908.0253931493698</v>
      </c>
      <c r="F13" s="8">
        <f>Conventional_105!E10</f>
        <v>4320.5528890503592</v>
      </c>
      <c r="G13" s="8">
        <f>Conventional_105!F10</f>
        <v>2994.9755029046637</v>
      </c>
      <c r="H13" s="8">
        <f>Conventional_105!G10</f>
        <v>2458.3779526141975</v>
      </c>
      <c r="I13" s="8">
        <f>Conventional_105!H10</f>
        <v>2212.5401573527779</v>
      </c>
      <c r="J13" s="8">
        <f>Conventional_105!I10</f>
        <v>1991.2861416175001</v>
      </c>
      <c r="K13" s="8">
        <f>Conventional_105!J10</f>
        <v>1792.1575274557501</v>
      </c>
      <c r="L13" s="8">
        <f>Conventional_105!K10</f>
        <v>1612.9417747101752</v>
      </c>
    </row>
    <row r="14" spans="1:12" ht="18" customHeight="1">
      <c r="A14" s="4" t="s">
        <v>21</v>
      </c>
      <c r="B14" s="9">
        <v>115</v>
      </c>
      <c r="C14" s="10">
        <f>Conventional_115!B10</f>
        <v>10092.350071662675</v>
      </c>
      <c r="D14" s="10">
        <f>Conventional_115!C10</f>
        <v>7708.3713789966423</v>
      </c>
      <c r="E14" s="10">
        <f>Conventional_115!D10</f>
        <v>5461.9126083491446</v>
      </c>
      <c r="F14" s="10">
        <f>Conventional_115!E10</f>
        <v>3747.8771446595697</v>
      </c>
      <c r="G14" s="10">
        <f>Conventional_115!F10</f>
        <v>2451.4486706047387</v>
      </c>
      <c r="H14" s="10">
        <f>Conventional_115!G10</f>
        <v>1959.7138035442651</v>
      </c>
      <c r="I14" s="10">
        <f>Conventional_115!H10</f>
        <v>1763.7424231898385</v>
      </c>
      <c r="J14" s="10">
        <f>Conventional_115!I10</f>
        <v>1587.3681808708548</v>
      </c>
      <c r="K14" s="10">
        <f>Conventional_115!J10</f>
        <v>1428.6313627837692</v>
      </c>
      <c r="L14" s="10">
        <f>Conventional_115!K10</f>
        <v>1285.7682265053922</v>
      </c>
    </row>
    <row r="15" spans="1:12" ht="18" customHeight="1">
      <c r="A15" s="2" t="s">
        <v>23</v>
      </c>
      <c r="B15" s="7">
        <v>85</v>
      </c>
      <c r="C15" s="8">
        <f>Syngenta__Above_gr_85!B10</f>
        <v>9000</v>
      </c>
      <c r="D15" s="8">
        <f>Syngenta__Above_gr_85!C10</f>
        <v>8100</v>
      </c>
      <c r="E15" s="8">
        <f>Syngenta__Above_gr_85!D10</f>
        <v>7290</v>
      </c>
      <c r="F15" s="8">
        <f>Syngenta__Above_gr_85!E10</f>
        <v>6561</v>
      </c>
      <c r="G15" s="8">
        <f>Syngenta__Above_gr_85!F10</f>
        <v>5904.9</v>
      </c>
      <c r="H15" s="8">
        <f>Syngenta__Above_gr_85!G10</f>
        <v>5314.41</v>
      </c>
      <c r="I15" s="8">
        <f>Syngenta__Above_gr_85!H10</f>
        <v>4782.9690000000001</v>
      </c>
      <c r="J15" s="8">
        <f>Syngenta__Above_gr_85!I10</f>
        <v>4304.6720999999998</v>
      </c>
      <c r="K15" s="8">
        <f>Syngenta__Above_gr_85!J10</f>
        <v>3874.20489</v>
      </c>
      <c r="L15" s="8">
        <f>Syngenta__Above_gr_85!K10</f>
        <v>3486.7844009999999</v>
      </c>
    </row>
    <row r="16" spans="1:12" ht="18" customHeight="1">
      <c r="A16" s="4" t="s">
        <v>23</v>
      </c>
      <c r="B16" s="9">
        <v>95</v>
      </c>
      <c r="C16" s="10">
        <f>Syngenta__Above_gr_95!B10</f>
        <v>9000</v>
      </c>
      <c r="D16" s="10">
        <f>Syngenta__Above_gr_95!C10</f>
        <v>8100</v>
      </c>
      <c r="E16" s="10">
        <f>Syngenta__Above_gr_95!D10</f>
        <v>7290</v>
      </c>
      <c r="F16" s="10">
        <f>Syngenta__Above_gr_95!E10</f>
        <v>6561</v>
      </c>
      <c r="G16" s="10">
        <f>Syngenta__Above_gr_95!F10</f>
        <v>5904.9</v>
      </c>
      <c r="H16" s="10">
        <f>Syngenta__Above_gr_95!G10</f>
        <v>5314.41</v>
      </c>
      <c r="I16" s="10">
        <f>Syngenta__Above_gr_95!H10</f>
        <v>4782.9690000000001</v>
      </c>
      <c r="J16" s="10">
        <f>Syngenta__Above_gr_95!I10</f>
        <v>4304.6720999999998</v>
      </c>
      <c r="K16" s="10">
        <f>Syngenta__Above_gr_95!J10</f>
        <v>3874.20489</v>
      </c>
      <c r="L16" s="10">
        <f>Syngenta__Above_gr_95!K10</f>
        <v>3486.7844009999999</v>
      </c>
    </row>
    <row r="17" spans="1:12" ht="18" customHeight="1">
      <c r="A17" s="2" t="s">
        <v>23</v>
      </c>
      <c r="B17" s="7">
        <v>105</v>
      </c>
      <c r="C17" s="8">
        <f>Syngenta__Above_gr_105!B10</f>
        <v>9000</v>
      </c>
      <c r="D17" s="8">
        <f>Syngenta__Above_gr_105!C10</f>
        <v>8100</v>
      </c>
      <c r="E17" s="8">
        <f>Syngenta__Above_gr_105!D10</f>
        <v>7290</v>
      </c>
      <c r="F17" s="8">
        <f>Syngenta__Above_gr_105!E10</f>
        <v>6561</v>
      </c>
      <c r="G17" s="8">
        <f>Syngenta__Above_gr_105!F10</f>
        <v>5904.9</v>
      </c>
      <c r="H17" s="8">
        <f>Syngenta__Above_gr_105!G10</f>
        <v>5314.41</v>
      </c>
      <c r="I17" s="8">
        <f>Syngenta__Above_gr_105!H10</f>
        <v>4782.9690000000001</v>
      </c>
      <c r="J17" s="8">
        <f>Syngenta__Above_gr_105!I10</f>
        <v>4304.6720999999998</v>
      </c>
      <c r="K17" s="8">
        <f>Syngenta__Above_gr_105!J10</f>
        <v>3874.20489</v>
      </c>
      <c r="L17" s="8">
        <f>Syngenta__Above_gr_105!K10</f>
        <v>3486.7844009999999</v>
      </c>
    </row>
    <row r="18" spans="1:12" ht="18" customHeight="1">
      <c r="A18" s="4" t="s">
        <v>23</v>
      </c>
      <c r="B18" s="9">
        <v>115</v>
      </c>
      <c r="C18" s="10">
        <f>Syngenta__Above_gr_115!B10</f>
        <v>9000</v>
      </c>
      <c r="D18" s="10">
        <f>Syngenta__Above_gr_115!C10</f>
        <v>8100</v>
      </c>
      <c r="E18" s="10">
        <f>Syngenta__Above_gr_115!D10</f>
        <v>7290</v>
      </c>
      <c r="F18" s="10">
        <f>Syngenta__Above_gr_115!E10</f>
        <v>6561</v>
      </c>
      <c r="G18" s="10">
        <f>Syngenta__Above_gr_115!F10</f>
        <v>5904.9</v>
      </c>
      <c r="H18" s="10">
        <f>Syngenta__Above_gr_115!G10</f>
        <v>5314.41</v>
      </c>
      <c r="I18" s="10">
        <f>Syngenta__Above_gr_115!H10</f>
        <v>4782.9690000000001</v>
      </c>
      <c r="J18" s="10">
        <f>Syngenta__Above_gr_115!I10</f>
        <v>4304.6720999999998</v>
      </c>
      <c r="K18" s="10">
        <f>Syngenta__Above_gr_115!J10</f>
        <v>3874.20489</v>
      </c>
      <c r="L18" s="10">
        <f>Syngenta__Above_gr_115!K10</f>
        <v>3486.7844009999999</v>
      </c>
    </row>
    <row r="19" spans="1:12" ht="18" customHeight="1">
      <c r="A19" s="2" t="s">
        <v>24</v>
      </c>
      <c r="B19" s="7">
        <v>85</v>
      </c>
      <c r="C19" s="8">
        <f>Syngenta__Above_be_85!B10</f>
        <v>9000</v>
      </c>
      <c r="D19" s="8">
        <f>Syngenta__Above_be_85!C10</f>
        <v>8100</v>
      </c>
      <c r="E19" s="8">
        <f>Syngenta__Above_be_85!D10</f>
        <v>7290</v>
      </c>
      <c r="F19" s="8">
        <f>Syngenta__Above_be_85!E10</f>
        <v>6561</v>
      </c>
      <c r="G19" s="8">
        <f>Syngenta__Above_be_85!F10</f>
        <v>5904.9</v>
      </c>
      <c r="H19" s="8">
        <f>Syngenta__Above_be_85!G10</f>
        <v>5314.41</v>
      </c>
      <c r="I19" s="8">
        <f>Syngenta__Above_be_85!H10</f>
        <v>4782.9690000000001</v>
      </c>
      <c r="J19" s="8">
        <f>Syngenta__Above_be_85!I10</f>
        <v>4304.6720999999998</v>
      </c>
      <c r="K19" s="8">
        <f>Syngenta__Above_be_85!J10</f>
        <v>3874.20489</v>
      </c>
      <c r="L19" s="8">
        <f>Syngenta__Above_be_85!K10</f>
        <v>3486.7844009999999</v>
      </c>
    </row>
    <row r="20" spans="1:12" ht="18" customHeight="1">
      <c r="A20" s="4" t="s">
        <v>24</v>
      </c>
      <c r="B20" s="9">
        <v>95</v>
      </c>
      <c r="C20" s="10">
        <f>Syngenta__Above_be_95!B10</f>
        <v>9000</v>
      </c>
      <c r="D20" s="10">
        <f>Syngenta__Above_be_95!C10</f>
        <v>8100</v>
      </c>
      <c r="E20" s="10">
        <f>Syngenta__Above_be_95!D10</f>
        <v>7290</v>
      </c>
      <c r="F20" s="10">
        <f>Syngenta__Above_be_95!E10</f>
        <v>6561</v>
      </c>
      <c r="G20" s="10">
        <f>Syngenta__Above_be_95!F10</f>
        <v>5904.9</v>
      </c>
      <c r="H20" s="10">
        <f>Syngenta__Above_be_95!G10</f>
        <v>5314.41</v>
      </c>
      <c r="I20" s="10">
        <f>Syngenta__Above_be_95!H10</f>
        <v>4782.9690000000001</v>
      </c>
      <c r="J20" s="10">
        <f>Syngenta__Above_be_95!I10</f>
        <v>4304.6720999999998</v>
      </c>
      <c r="K20" s="10">
        <f>Syngenta__Above_be_95!J10</f>
        <v>3874.20489</v>
      </c>
      <c r="L20" s="10">
        <f>Syngenta__Above_be_95!K10</f>
        <v>3486.7844009999999</v>
      </c>
    </row>
    <row r="21" spans="1:12" ht="18" customHeight="1">
      <c r="A21" s="2" t="s">
        <v>24</v>
      </c>
      <c r="B21" s="7">
        <v>105</v>
      </c>
      <c r="C21" s="8">
        <f>Syngenta__Above_be_105!B10</f>
        <v>9000</v>
      </c>
      <c r="D21" s="8">
        <f>Syngenta__Above_be_105!C10</f>
        <v>8100</v>
      </c>
      <c r="E21" s="8">
        <f>Syngenta__Above_be_105!D10</f>
        <v>7290</v>
      </c>
      <c r="F21" s="8">
        <f>Syngenta__Above_be_105!E10</f>
        <v>6561</v>
      </c>
      <c r="G21" s="8">
        <f>Syngenta__Above_be_105!F10</f>
        <v>5904.9</v>
      </c>
      <c r="H21" s="8">
        <f>Syngenta__Above_be_105!G10</f>
        <v>5314.41</v>
      </c>
      <c r="I21" s="8">
        <f>Syngenta__Above_be_105!H10</f>
        <v>4782.9690000000001</v>
      </c>
      <c r="J21" s="8">
        <f>Syngenta__Above_be_105!I10</f>
        <v>4304.6720999999998</v>
      </c>
      <c r="K21" s="8">
        <f>Syngenta__Above_be_105!J10</f>
        <v>3874.20489</v>
      </c>
      <c r="L21" s="8">
        <f>Syngenta__Above_be_105!K10</f>
        <v>3486.7844009999999</v>
      </c>
    </row>
    <row r="22" spans="1:12" ht="18" customHeight="1">
      <c r="A22" s="4" t="s">
        <v>24</v>
      </c>
      <c r="B22" s="9">
        <v>115</v>
      </c>
      <c r="C22" s="10">
        <f>Syngenta__Above_be_115!B10</f>
        <v>9000</v>
      </c>
      <c r="D22" s="10">
        <f>Syngenta__Above_be_115!C10</f>
        <v>8100</v>
      </c>
      <c r="E22" s="10">
        <f>Syngenta__Above_be_115!D10</f>
        <v>7290</v>
      </c>
      <c r="F22" s="10">
        <f>Syngenta__Above_be_115!E10</f>
        <v>6561</v>
      </c>
      <c r="G22" s="10">
        <f>Syngenta__Above_be_115!F10</f>
        <v>5904.9</v>
      </c>
      <c r="H22" s="10">
        <f>Syngenta__Above_be_115!G10</f>
        <v>5314.41</v>
      </c>
      <c r="I22" s="10">
        <f>Syngenta__Above_be_115!H10</f>
        <v>4782.9690000000001</v>
      </c>
      <c r="J22" s="10">
        <f>Syngenta__Above_be_115!I10</f>
        <v>4304.6720999999998</v>
      </c>
      <c r="K22" s="10">
        <f>Syngenta__Above_be_115!J10</f>
        <v>3874.20489</v>
      </c>
      <c r="L22" s="10">
        <f>Syngenta__Above_be_115!K10</f>
        <v>3486.7844009999999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4"/>
  <sheetViews>
    <sheetView showGridLines="0" zoomScaleNormal="100" workbookViewId="0">
      <pane xSplit="1" ySplit="2" topLeftCell="B3" activePane="bottomRight" state="frozen"/>
      <selection pane="bottomRight" activeCell="B10" sqref="B10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>B10</f>
        <v>10930.795851879775</v>
      </c>
      <c r="D3" s="14">
        <f t="shared" ref="D3:K3" si="0">C10</f>
        <v>8825.6347887394932</v>
      </c>
      <c r="E3" s="14">
        <f t="shared" si="0"/>
        <v>6492.0999252133206</v>
      </c>
      <c r="F3" s="14">
        <f t="shared" si="0"/>
        <v>4716.7812407095553</v>
      </c>
      <c r="G3" s="14">
        <f t="shared" si="0"/>
        <v>3171.652512876728</v>
      </c>
      <c r="H3" s="14">
        <f t="shared" si="0"/>
        <v>2591.2772615890553</v>
      </c>
      <c r="I3" s="14">
        <f t="shared" si="0"/>
        <v>2332.1495354301496</v>
      </c>
      <c r="J3" s="14">
        <f t="shared" si="0"/>
        <v>2098.9345818871348</v>
      </c>
      <c r="K3" s="14">
        <f t="shared" si="0"/>
        <v>1889.0411236984212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-1093.0795851879775</v>
      </c>
      <c r="D4" s="16">
        <f>-D3*Assumptions!$B$5</f>
        <v>-882.56347887394941</v>
      </c>
      <c r="E4" s="16">
        <f>-E3*Assumptions!$B$5</f>
        <v>-649.20999252133208</v>
      </c>
      <c r="F4" s="16">
        <f>-F3*Assumptions!$B$5</f>
        <v>-471.67812407095556</v>
      </c>
      <c r="G4" s="16">
        <f>-G3*Assumptions!$B$5</f>
        <v>-317.16525128767285</v>
      </c>
      <c r="H4" s="16">
        <f>-H3*Assumptions!$B$5</f>
        <v>-259.12772615890555</v>
      </c>
      <c r="I4" s="16">
        <f>-I3*Assumptions!$B$5</f>
        <v>-233.21495354301499</v>
      </c>
      <c r="J4" s="16">
        <f>-J3*Assumptions!$B$5</f>
        <v>-209.89345818871348</v>
      </c>
      <c r="K4" s="16">
        <f>-K3*Assumptions!$B$5</f>
        <v>-188.90411236984212</v>
      </c>
    </row>
    <row r="5" spans="1:12" ht="19.5" customHeight="1">
      <c r="A5" s="17" t="s">
        <v>41</v>
      </c>
      <c r="B5" s="18">
        <v>5192.82</v>
      </c>
      <c r="C5" s="18">
        <v>4048.47</v>
      </c>
      <c r="D5" s="18">
        <v>2515.3200000000002</v>
      </c>
      <c r="E5" s="18">
        <v>1345.26</v>
      </c>
      <c r="F5" s="18">
        <v>263.20999999999998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>B5*$B$13*$B$14</f>
        <v>5471.9141345711996</v>
      </c>
      <c r="C6" s="19">
        <f t="shared" ref="C6:K6" si="1">C5*$B$13*$B$14</f>
        <v>4266.0597163752</v>
      </c>
      <c r="D6" s="19">
        <f t="shared" si="1"/>
        <v>2650.5087911711998</v>
      </c>
      <c r="E6" s="19">
        <f t="shared" si="1"/>
        <v>1417.5625592015999</v>
      </c>
      <c r="F6" s="19">
        <f t="shared" si="1"/>
        <v>277.35652677359991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-109.43828269142399</v>
      </c>
      <c r="C7" s="20">
        <f>-C6*Assumptions!$B$6</f>
        <v>-85.321194327504003</v>
      </c>
      <c r="D7" s="20">
        <f>-D6*Assumptions!$B$6</f>
        <v>-53.010175823423999</v>
      </c>
      <c r="E7" s="20">
        <f>-E6*Assumptions!$B$6</f>
        <v>-28.351251184031998</v>
      </c>
      <c r="F7" s="20">
        <f>-F6*Assumptions!$B$6</f>
        <v>-5.5471305354719984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14362.475851879775</v>
      </c>
      <c r="C8" s="22">
        <f t="shared" si="2"/>
        <v>14018.454788739493</v>
      </c>
      <c r="D8" s="22">
        <f t="shared" si="2"/>
        <v>10540.56992521332</v>
      </c>
      <c r="E8" s="22">
        <f t="shared" si="2"/>
        <v>7232.1012407095559</v>
      </c>
      <c r="F8" s="22">
        <f t="shared" si="2"/>
        <v>4516.9125128767282</v>
      </c>
      <c r="G8" s="22">
        <f t="shared" si="2"/>
        <v>2854.4872615890554</v>
      </c>
      <c r="H8" s="22">
        <f t="shared" si="2"/>
        <v>2332.1495354301496</v>
      </c>
      <c r="I8" s="22">
        <f t="shared" si="2"/>
        <v>2098.9345818871348</v>
      </c>
      <c r="J8" s="22">
        <f t="shared" si="2"/>
        <v>1889.0411236984212</v>
      </c>
      <c r="K8" s="22">
        <f t="shared" si="2"/>
        <v>1700.1370113285791</v>
      </c>
    </row>
    <row r="9" spans="1:12" ht="19.5" customHeight="1">
      <c r="A9" s="23" t="s">
        <v>45</v>
      </c>
      <c r="B9" s="24">
        <v>3431.68</v>
      </c>
      <c r="C9" s="24">
        <v>5192.82</v>
      </c>
      <c r="D9" s="24">
        <v>4048.47</v>
      </c>
      <c r="E9" s="24">
        <v>2515.3200000000002</v>
      </c>
      <c r="F9" s="24">
        <v>1345.26</v>
      </c>
      <c r="G9" s="24">
        <v>263.20999999999998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>B8-B9</f>
        <v>10930.795851879775</v>
      </c>
      <c r="C10" s="26">
        <f t="shared" ref="C10:K10" si="3">C8-C9</f>
        <v>8825.6347887394932</v>
      </c>
      <c r="D10" s="26">
        <f t="shared" si="3"/>
        <v>6492.0999252133206</v>
      </c>
      <c r="E10" s="26">
        <f t="shared" si="3"/>
        <v>4716.7812407095553</v>
      </c>
      <c r="F10" s="26">
        <f t="shared" si="3"/>
        <v>3171.652512876728</v>
      </c>
      <c r="G10" s="26">
        <f t="shared" si="3"/>
        <v>2591.2772615890553</v>
      </c>
      <c r="H10" s="26">
        <f t="shared" si="3"/>
        <v>2332.1495354301496</v>
      </c>
      <c r="I10" s="26">
        <f t="shared" si="3"/>
        <v>2098.9345818871348</v>
      </c>
      <c r="J10" s="26">
        <f t="shared" si="3"/>
        <v>1889.0411236984212</v>
      </c>
      <c r="K10" s="26">
        <f t="shared" si="3"/>
        <v>1700.1370113285791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1.0104</v>
      </c>
    </row>
    <row r="14" spans="1:12" ht="18" customHeight="1">
      <c r="A14" s="4" t="s">
        <v>49</v>
      </c>
      <c r="B14" s="28">
        <v>1.0428999999999999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11424.261634497198</v>
      </c>
      <c r="D3" s="14">
        <f t="shared" si="0"/>
        <v>8969.6084020634808</v>
      </c>
      <c r="E3" s="14">
        <f t="shared" si="0"/>
        <v>6129.9605851451342</v>
      </c>
      <c r="F3" s="14">
        <f t="shared" si="0"/>
        <v>3696.9270122002208</v>
      </c>
      <c r="G3" s="14">
        <f t="shared" si="0"/>
        <v>1483.0372192029986</v>
      </c>
      <c r="H3" s="14">
        <f t="shared" si="0"/>
        <v>487.9254249422986</v>
      </c>
      <c r="I3" s="14">
        <f t="shared" si="0"/>
        <v>321.02288244806874</v>
      </c>
      <c r="J3" s="14">
        <f t="shared" si="0"/>
        <v>288.92059420326189</v>
      </c>
      <c r="K3" s="14">
        <f t="shared" si="0"/>
        <v>260.02853478293571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-1142.4261634497198</v>
      </c>
      <c r="D4" s="16">
        <f>-D3*Assumptions!$B$5</f>
        <v>-896.96084020634817</v>
      </c>
      <c r="E4" s="16">
        <f>-E3*Assumptions!$B$5</f>
        <v>-612.99605851451349</v>
      </c>
      <c r="F4" s="16">
        <f>-F3*Assumptions!$B$5</f>
        <v>-369.69270122002212</v>
      </c>
      <c r="G4" s="16">
        <f>-G3*Assumptions!$B$5</f>
        <v>-148.30372192029986</v>
      </c>
      <c r="H4" s="16">
        <f>-H3*Assumptions!$B$5</f>
        <v>-48.792542494229863</v>
      </c>
      <c r="I4" s="16">
        <f>-I3*Assumptions!$B$5</f>
        <v>-32.102288244806878</v>
      </c>
      <c r="J4" s="16">
        <f>-J3*Assumptions!$B$5</f>
        <v>-28.892059420326191</v>
      </c>
      <c r="K4" s="16">
        <f>-K3*Assumptions!$B$5</f>
        <v>-26.002853478293574</v>
      </c>
    </row>
    <row r="5" spans="1:12" ht="19.5" customHeight="1">
      <c r="A5" s="17" t="s">
        <v>41</v>
      </c>
      <c r="B5" s="18">
        <v>8184.77</v>
      </c>
      <c r="C5" s="18">
        <v>6740.6</v>
      </c>
      <c r="D5" s="18">
        <v>4705.8</v>
      </c>
      <c r="E5" s="18">
        <v>2830.36</v>
      </c>
      <c r="F5" s="18">
        <v>967.23</v>
      </c>
      <c r="G5" s="18">
        <v>118.11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8515.2873821400008</v>
      </c>
      <c r="C6" s="19">
        <f t="shared" si="1"/>
        <v>7012.7989092000007</v>
      </c>
      <c r="D6" s="19">
        <f t="shared" si="1"/>
        <v>4895.8296156000006</v>
      </c>
      <c r="E6" s="19">
        <f t="shared" si="1"/>
        <v>2944.6555975200004</v>
      </c>
      <c r="F6" s="19">
        <f t="shared" si="1"/>
        <v>1006.28868186</v>
      </c>
      <c r="G6" s="19">
        <f t="shared" si="1"/>
        <v>122.87951802000001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-170.30574764280001</v>
      </c>
      <c r="C7" s="20">
        <f>-C6*Assumptions!$B$6</f>
        <v>-140.25597818400001</v>
      </c>
      <c r="D7" s="20">
        <f>-D6*Assumptions!$B$6</f>
        <v>-97.91659231200002</v>
      </c>
      <c r="E7" s="20">
        <f>-E6*Assumptions!$B$6</f>
        <v>-58.893111950400005</v>
      </c>
      <c r="F7" s="20">
        <f>-F6*Assumptions!$B$6</f>
        <v>-20.125773637200002</v>
      </c>
      <c r="G7" s="20">
        <f>-G6*Assumptions!$B$6</f>
        <v>-2.4575903604000002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17344.981634497199</v>
      </c>
      <c r="C8" s="22">
        <f t="shared" si="2"/>
        <v>17154.378402063481</v>
      </c>
      <c r="D8" s="22">
        <f t="shared" si="2"/>
        <v>12870.560585145135</v>
      </c>
      <c r="E8" s="22">
        <f t="shared" si="2"/>
        <v>8402.727012200221</v>
      </c>
      <c r="F8" s="22">
        <f t="shared" si="2"/>
        <v>4313.3972192029987</v>
      </c>
      <c r="G8" s="22">
        <f t="shared" si="2"/>
        <v>1455.1554249422986</v>
      </c>
      <c r="H8" s="22">
        <f t="shared" si="2"/>
        <v>439.13288244806876</v>
      </c>
      <c r="I8" s="22">
        <f t="shared" si="2"/>
        <v>288.92059420326189</v>
      </c>
      <c r="J8" s="22">
        <f t="shared" si="2"/>
        <v>260.02853478293571</v>
      </c>
      <c r="K8" s="22">
        <f t="shared" si="2"/>
        <v>234.02568130464215</v>
      </c>
    </row>
    <row r="9" spans="1:12" ht="19.5" customHeight="1">
      <c r="A9" s="23" t="s">
        <v>45</v>
      </c>
      <c r="B9" s="24">
        <v>5920.72</v>
      </c>
      <c r="C9" s="24">
        <v>8184.77</v>
      </c>
      <c r="D9" s="24">
        <v>6740.6</v>
      </c>
      <c r="E9" s="24">
        <v>4705.8</v>
      </c>
      <c r="F9" s="24">
        <v>2830.36</v>
      </c>
      <c r="G9" s="24">
        <v>967.23</v>
      </c>
      <c r="H9" s="24">
        <v>118.11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11424.261634497198</v>
      </c>
      <c r="C10" s="26">
        <f t="shared" si="3"/>
        <v>8969.6084020634808</v>
      </c>
      <c r="D10" s="26">
        <f t="shared" si="3"/>
        <v>6129.9605851451342</v>
      </c>
      <c r="E10" s="26">
        <f t="shared" si="3"/>
        <v>3696.9270122002208</v>
      </c>
      <c r="F10" s="26">
        <f t="shared" si="3"/>
        <v>1483.0372192029986</v>
      </c>
      <c r="G10" s="26">
        <f t="shared" si="3"/>
        <v>487.9254249422986</v>
      </c>
      <c r="H10" s="26">
        <f t="shared" si="3"/>
        <v>321.02288244806874</v>
      </c>
      <c r="I10" s="26">
        <f t="shared" si="3"/>
        <v>288.92059420326189</v>
      </c>
      <c r="J10" s="26">
        <f t="shared" si="3"/>
        <v>260.02853478293571</v>
      </c>
      <c r="K10" s="26">
        <f t="shared" si="3"/>
        <v>234.02568130464215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1.0349999999999999</v>
      </c>
    </row>
    <row r="14" spans="1:12" ht="18" customHeight="1">
      <c r="A14" s="4" t="s">
        <v>49</v>
      </c>
      <c r="B14" s="28">
        <v>1.0052000000000001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11874.900377076658</v>
      </c>
      <c r="D3" s="14">
        <f t="shared" si="0"/>
        <v>8926.2290026449082</v>
      </c>
      <c r="E3" s="14">
        <f t="shared" si="0"/>
        <v>5150.352501295476</v>
      </c>
      <c r="F3" s="14">
        <f t="shared" si="0"/>
        <v>2215.8003842219678</v>
      </c>
      <c r="G3" s="14">
        <f t="shared" si="0"/>
        <v>-649.81527467764954</v>
      </c>
      <c r="H3" s="14">
        <f t="shared" si="0"/>
        <v>-1903.9924775178647</v>
      </c>
      <c r="I3" s="14">
        <f t="shared" si="0"/>
        <v>-2188.783229766078</v>
      </c>
      <c r="J3" s="14">
        <f t="shared" si="0"/>
        <v>-1969.9049067894703</v>
      </c>
      <c r="K3" s="14">
        <f t="shared" si="0"/>
        <v>-1772.9144161105232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-1187.4900377076658</v>
      </c>
      <c r="D4" s="16">
        <f>-D3*Assumptions!$B$5</f>
        <v>-892.62290026449091</v>
      </c>
      <c r="E4" s="16">
        <f>-E3*Assumptions!$B$5</f>
        <v>-515.03525012954765</v>
      </c>
      <c r="F4" s="16">
        <f>-F3*Assumptions!$B$5</f>
        <v>-221.58003842219679</v>
      </c>
      <c r="G4" s="16">
        <f>-G3*Assumptions!$B$5</f>
        <v>64.981527467764963</v>
      </c>
      <c r="H4" s="16">
        <f>-H3*Assumptions!$B$5</f>
        <v>190.39924775178648</v>
      </c>
      <c r="I4" s="16">
        <f>-I3*Assumptions!$B$5</f>
        <v>218.87832297660782</v>
      </c>
      <c r="J4" s="16">
        <f>-J3*Assumptions!$B$5</f>
        <v>196.99049067894703</v>
      </c>
      <c r="K4" s="16">
        <f>-K3*Assumptions!$B$5</f>
        <v>177.29144161105233</v>
      </c>
    </row>
    <row r="5" spans="1:12" ht="19.5" customHeight="1">
      <c r="A5" s="17" t="s">
        <v>41</v>
      </c>
      <c r="B5" s="18">
        <v>11461.27</v>
      </c>
      <c r="C5" s="18">
        <v>9717.24</v>
      </c>
      <c r="D5" s="18">
        <v>6846.07</v>
      </c>
      <c r="E5" s="18">
        <v>4434.38</v>
      </c>
      <c r="F5" s="18">
        <v>1793.51</v>
      </c>
      <c r="G5" s="18">
        <v>475.19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11674.530997017</v>
      </c>
      <c r="C6" s="19">
        <f t="shared" si="1"/>
        <v>9898.0496564039986</v>
      </c>
      <c r="D6" s="19">
        <f t="shared" si="1"/>
        <v>6973.4555090969998</v>
      </c>
      <c r="E6" s="19">
        <f t="shared" si="1"/>
        <v>4516.8909520979996</v>
      </c>
      <c r="F6" s="19">
        <f t="shared" si="1"/>
        <v>1826.8820199209999</v>
      </c>
      <c r="G6" s="19">
        <f t="shared" si="1"/>
        <v>484.03190784899994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-233.49061994034</v>
      </c>
      <c r="C7" s="20">
        <f>-C6*Assumptions!$B$6</f>
        <v>-197.96099312807996</v>
      </c>
      <c r="D7" s="20">
        <f>-D6*Assumptions!$B$6</f>
        <v>-139.46911018194001</v>
      </c>
      <c r="E7" s="20">
        <f>-E6*Assumptions!$B$6</f>
        <v>-90.337819041959989</v>
      </c>
      <c r="F7" s="20">
        <f>-F6*Assumptions!$B$6</f>
        <v>-36.537640398420002</v>
      </c>
      <c r="G7" s="20">
        <f>-G6*Assumptions!$B$6</f>
        <v>-9.6806381569799989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20441.040377076657</v>
      </c>
      <c r="C8" s="22">
        <f t="shared" si="2"/>
        <v>20387.499002644909</v>
      </c>
      <c r="D8" s="22">
        <f t="shared" si="2"/>
        <v>14867.592501295476</v>
      </c>
      <c r="E8" s="22">
        <f t="shared" si="2"/>
        <v>9061.8703842219675</v>
      </c>
      <c r="F8" s="22">
        <f t="shared" si="2"/>
        <v>3784.5647253223506</v>
      </c>
      <c r="G8" s="22">
        <f t="shared" si="2"/>
        <v>-110.48247751786462</v>
      </c>
      <c r="H8" s="22">
        <f t="shared" si="2"/>
        <v>-1713.5932297660781</v>
      </c>
      <c r="I8" s="22">
        <f t="shared" si="2"/>
        <v>-1969.9049067894703</v>
      </c>
      <c r="J8" s="22">
        <f t="shared" si="2"/>
        <v>-1772.9144161105232</v>
      </c>
      <c r="K8" s="22">
        <f t="shared" si="2"/>
        <v>-1595.622974499471</v>
      </c>
    </row>
    <row r="9" spans="1:12" ht="19.5" customHeight="1">
      <c r="A9" s="23" t="s">
        <v>45</v>
      </c>
      <c r="B9" s="24">
        <v>8566.14</v>
      </c>
      <c r="C9" s="24">
        <v>11461.27</v>
      </c>
      <c r="D9" s="24">
        <v>9717.24</v>
      </c>
      <c r="E9" s="24">
        <v>6846.07</v>
      </c>
      <c r="F9" s="24">
        <v>4434.38</v>
      </c>
      <c r="G9" s="24">
        <v>1793.51</v>
      </c>
      <c r="H9" s="24">
        <v>475.19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11874.900377076658</v>
      </c>
      <c r="C10" s="26">
        <f t="shared" si="3"/>
        <v>8926.2290026449082</v>
      </c>
      <c r="D10" s="26">
        <f t="shared" si="3"/>
        <v>5150.352501295476</v>
      </c>
      <c r="E10" s="26">
        <f t="shared" si="3"/>
        <v>2215.8003842219678</v>
      </c>
      <c r="F10" s="26">
        <f t="shared" si="3"/>
        <v>-649.81527467764954</v>
      </c>
      <c r="G10" s="26">
        <f t="shared" si="3"/>
        <v>-1903.9924775178647</v>
      </c>
      <c r="H10" s="26">
        <f t="shared" si="3"/>
        <v>-2188.783229766078</v>
      </c>
      <c r="I10" s="26">
        <f t="shared" si="3"/>
        <v>-1969.9049067894703</v>
      </c>
      <c r="J10" s="26">
        <f t="shared" si="3"/>
        <v>-1772.9144161105232</v>
      </c>
      <c r="K10" s="26">
        <f t="shared" si="3"/>
        <v>-1595.622974499471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0.9899</v>
      </c>
    </row>
    <row r="14" spans="1:12" ht="18" customHeight="1">
      <c r="A14" s="4" t="s">
        <v>49</v>
      </c>
      <c r="B14" s="28">
        <v>1.0289999999999999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12371.267958794753</v>
      </c>
      <c r="D3" s="14">
        <f t="shared" si="0"/>
        <v>9528.9435447626984</v>
      </c>
      <c r="E3" s="14">
        <f t="shared" si="0"/>
        <v>5248.0100791776058</v>
      </c>
      <c r="F3" s="14">
        <f t="shared" si="0"/>
        <v>2006.3073251782325</v>
      </c>
      <c r="G3" s="14">
        <f t="shared" si="0"/>
        <v>-946.45110273641922</v>
      </c>
      <c r="H3" s="14">
        <f t="shared" si="0"/>
        <v>-2192.7450042164432</v>
      </c>
      <c r="I3" s="14">
        <f t="shared" si="0"/>
        <v>-2430.3605037947987</v>
      </c>
      <c r="J3" s="14">
        <f t="shared" si="0"/>
        <v>-2187.3244534153187</v>
      </c>
      <c r="K3" s="14">
        <f t="shared" si="0"/>
        <v>-1968.5920080737867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-1237.1267958794754</v>
      </c>
      <c r="D4" s="16">
        <f>-D3*Assumptions!$B$5</f>
        <v>-952.89435447626988</v>
      </c>
      <c r="E4" s="16">
        <f>-E3*Assumptions!$B$5</f>
        <v>-524.80100791776056</v>
      </c>
      <c r="F4" s="16">
        <f>-F3*Assumptions!$B$5</f>
        <v>-200.63073251782328</v>
      </c>
      <c r="G4" s="16">
        <f>-G3*Assumptions!$B$5</f>
        <v>94.645110273641933</v>
      </c>
      <c r="H4" s="16">
        <f>-H3*Assumptions!$B$5</f>
        <v>219.27450042164435</v>
      </c>
      <c r="I4" s="16">
        <f>-I3*Assumptions!$B$5</f>
        <v>243.03605037947989</v>
      </c>
      <c r="J4" s="16">
        <f>-J3*Assumptions!$B$5</f>
        <v>218.73244534153187</v>
      </c>
      <c r="K4" s="16">
        <f>-K3*Assumptions!$B$5</f>
        <v>196.85920080737867</v>
      </c>
    </row>
    <row r="5" spans="1:12" ht="19.5" customHeight="1">
      <c r="A5" s="17" t="s">
        <v>41</v>
      </c>
      <c r="B5" s="18">
        <v>11921.92</v>
      </c>
      <c r="C5" s="18">
        <v>10435.700000000001</v>
      </c>
      <c r="D5" s="18">
        <v>7189.63</v>
      </c>
      <c r="E5" s="18">
        <v>4524.3100000000004</v>
      </c>
      <c r="F5" s="18">
        <v>1792.62</v>
      </c>
      <c r="G5" s="18">
        <v>456.89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12026.528529382402</v>
      </c>
      <c r="C6" s="19">
        <f t="shared" si="1"/>
        <v>10527.267736579002</v>
      </c>
      <c r="D6" s="19">
        <f t="shared" si="1"/>
        <v>7252.7151927461009</v>
      </c>
      <c r="E6" s="19">
        <f t="shared" si="1"/>
        <v>4564.0084223657013</v>
      </c>
      <c r="F6" s="19">
        <f t="shared" si="1"/>
        <v>1808.3492904114</v>
      </c>
      <c r="G6" s="19">
        <f t="shared" si="1"/>
        <v>460.89896759830003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-240.53057058764804</v>
      </c>
      <c r="C7" s="20">
        <f>-C6*Assumptions!$B$6</f>
        <v>-210.54535473158006</v>
      </c>
      <c r="D7" s="20">
        <f>-D6*Assumptions!$B$6</f>
        <v>-145.05430385492201</v>
      </c>
      <c r="E7" s="20">
        <f>-E6*Assumptions!$B$6</f>
        <v>-91.280168447314026</v>
      </c>
      <c r="F7" s="20">
        <f>-F6*Assumptions!$B$6</f>
        <v>-36.166985808227999</v>
      </c>
      <c r="G7" s="20">
        <f>-G6*Assumptions!$B$6</f>
        <v>-9.2179793519660009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20785.997958794753</v>
      </c>
      <c r="C8" s="22">
        <f t="shared" si="2"/>
        <v>21450.863544762698</v>
      </c>
      <c r="D8" s="22">
        <f t="shared" si="2"/>
        <v>15683.710079177607</v>
      </c>
      <c r="E8" s="22">
        <f t="shared" si="2"/>
        <v>9195.9373251782326</v>
      </c>
      <c r="F8" s="22">
        <f t="shared" si="2"/>
        <v>3577.8588972635812</v>
      </c>
      <c r="G8" s="22">
        <f t="shared" si="2"/>
        <v>-400.1250042164433</v>
      </c>
      <c r="H8" s="22">
        <f t="shared" si="2"/>
        <v>-1973.4705037947988</v>
      </c>
      <c r="I8" s="22">
        <f t="shared" si="2"/>
        <v>-2187.3244534153187</v>
      </c>
      <c r="J8" s="22">
        <f t="shared" si="2"/>
        <v>-1968.5920080737867</v>
      </c>
      <c r="K8" s="22">
        <f t="shared" si="2"/>
        <v>-1771.7328072664081</v>
      </c>
    </row>
    <row r="9" spans="1:12" ht="19.5" customHeight="1">
      <c r="A9" s="23" t="s">
        <v>45</v>
      </c>
      <c r="B9" s="24">
        <v>8414.73</v>
      </c>
      <c r="C9" s="24">
        <v>11921.92</v>
      </c>
      <c r="D9" s="24">
        <v>10435.700000000001</v>
      </c>
      <c r="E9" s="24">
        <v>7189.63</v>
      </c>
      <c r="F9" s="24">
        <v>4524.3100000000004</v>
      </c>
      <c r="G9" s="24">
        <v>1792.62</v>
      </c>
      <c r="H9" s="24">
        <v>456.89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12371.267958794753</v>
      </c>
      <c r="C10" s="26">
        <f t="shared" si="3"/>
        <v>9528.9435447626984</v>
      </c>
      <c r="D10" s="26">
        <f t="shared" si="3"/>
        <v>5248.0100791776058</v>
      </c>
      <c r="E10" s="26">
        <f t="shared" si="3"/>
        <v>2006.3073251782325</v>
      </c>
      <c r="F10" s="26">
        <f t="shared" si="3"/>
        <v>-946.45110273641922</v>
      </c>
      <c r="G10" s="26">
        <f t="shared" si="3"/>
        <v>-2192.7450042164432</v>
      </c>
      <c r="H10" s="26">
        <f t="shared" si="3"/>
        <v>-2430.3605037947987</v>
      </c>
      <c r="I10" s="26">
        <f t="shared" si="3"/>
        <v>-2187.3244534153187</v>
      </c>
      <c r="J10" s="26">
        <f t="shared" si="3"/>
        <v>-1968.5920080737867</v>
      </c>
      <c r="K10" s="26">
        <f t="shared" si="3"/>
        <v>-1771.7328072664081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0.99770000000000003</v>
      </c>
    </row>
    <row r="14" spans="1:12" ht="18" customHeight="1">
      <c r="A14" s="4" t="s">
        <v>49</v>
      </c>
      <c r="B14" s="28">
        <v>1.0111000000000001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10237.083200000001</v>
      </c>
      <c r="D3" s="14">
        <f t="shared" si="0"/>
        <v>8023.8926800000008</v>
      </c>
      <c r="E3" s="14">
        <f t="shared" si="0"/>
        <v>5854.498012</v>
      </c>
      <c r="F3" s="14">
        <f t="shared" si="0"/>
        <v>4308.7226107999995</v>
      </c>
      <c r="G3" s="14">
        <f t="shared" si="0"/>
        <v>3100.1811497199997</v>
      </c>
      <c r="H3" s="14">
        <f t="shared" si="0"/>
        <v>2622.7030347479995</v>
      </c>
      <c r="I3" s="14">
        <f t="shared" si="0"/>
        <v>2360.4327312731994</v>
      </c>
      <c r="J3" s="14">
        <f t="shared" si="0"/>
        <v>2124.3894581458794</v>
      </c>
      <c r="K3" s="14">
        <f t="shared" si="0"/>
        <v>1911.9505123312915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-1023.7083200000002</v>
      </c>
      <c r="D4" s="16">
        <f>-D3*Assumptions!$B$5</f>
        <v>-802.38926800000013</v>
      </c>
      <c r="E4" s="16">
        <f>-E3*Assumptions!$B$5</f>
        <v>-585.44980120000002</v>
      </c>
      <c r="F4" s="16">
        <f>-F3*Assumptions!$B$5</f>
        <v>-430.87226107999999</v>
      </c>
      <c r="G4" s="16">
        <f>-G3*Assumptions!$B$5</f>
        <v>-310.01811497199998</v>
      </c>
      <c r="H4" s="16">
        <f>-H3*Assumptions!$B$5</f>
        <v>-262.27030347479996</v>
      </c>
      <c r="I4" s="16">
        <f>-I3*Assumptions!$B$5</f>
        <v>-236.04327312731994</v>
      </c>
      <c r="J4" s="16">
        <f>-J3*Assumptions!$B$5</f>
        <v>-212.43894581458795</v>
      </c>
      <c r="K4" s="16">
        <f>-K3*Assumptions!$B$5</f>
        <v>-191.19505123312916</v>
      </c>
    </row>
    <row r="5" spans="1:12" ht="19.5" customHeight="1">
      <c r="A5" s="17" t="s">
        <v>41</v>
      </c>
      <c r="B5" s="18">
        <v>4337.84</v>
      </c>
      <c r="C5" s="18">
        <v>3212.61</v>
      </c>
      <c r="D5" s="18">
        <v>1883.27</v>
      </c>
      <c r="E5" s="18">
        <v>941.78</v>
      </c>
      <c r="F5" s="18">
        <v>167.46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4337.84</v>
      </c>
      <c r="C6" s="19">
        <f t="shared" si="1"/>
        <v>3212.61</v>
      </c>
      <c r="D6" s="19">
        <f t="shared" si="1"/>
        <v>1883.27</v>
      </c>
      <c r="E6" s="19">
        <f t="shared" si="1"/>
        <v>941.78</v>
      </c>
      <c r="F6" s="19">
        <f t="shared" si="1"/>
        <v>167.46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-86.756799999999998</v>
      </c>
      <c r="C7" s="20">
        <f>-C6*Assumptions!$B$6</f>
        <v>-64.252200000000002</v>
      </c>
      <c r="D7" s="20">
        <f>-D6*Assumptions!$B$6</f>
        <v>-37.665399999999998</v>
      </c>
      <c r="E7" s="20">
        <f>-E6*Assumptions!$B$6</f>
        <v>-18.835599999999999</v>
      </c>
      <c r="F7" s="20">
        <f>-F6*Assumptions!$B$6</f>
        <v>-3.3492000000000002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13251.083200000001</v>
      </c>
      <c r="C8" s="22">
        <f t="shared" si="2"/>
        <v>12361.732680000001</v>
      </c>
      <c r="D8" s="22">
        <f t="shared" si="2"/>
        <v>9067.1080120000006</v>
      </c>
      <c r="E8" s="22">
        <f t="shared" si="2"/>
        <v>6191.9926107999991</v>
      </c>
      <c r="F8" s="22">
        <f t="shared" si="2"/>
        <v>4041.9611497199994</v>
      </c>
      <c r="G8" s="22">
        <f t="shared" si="2"/>
        <v>2790.1630347479995</v>
      </c>
      <c r="H8" s="22">
        <f t="shared" si="2"/>
        <v>2360.4327312731994</v>
      </c>
      <c r="I8" s="22">
        <f t="shared" si="2"/>
        <v>2124.3894581458794</v>
      </c>
      <c r="J8" s="22">
        <f t="shared" si="2"/>
        <v>1911.9505123312915</v>
      </c>
      <c r="K8" s="22">
        <f t="shared" si="2"/>
        <v>1720.7554610981624</v>
      </c>
    </row>
    <row r="9" spans="1:12" ht="19.5" customHeight="1">
      <c r="A9" s="23" t="s">
        <v>45</v>
      </c>
      <c r="B9" s="24">
        <v>3014</v>
      </c>
      <c r="C9" s="24">
        <v>4337.84</v>
      </c>
      <c r="D9" s="24">
        <v>3212.61</v>
      </c>
      <c r="E9" s="24">
        <v>1883.27</v>
      </c>
      <c r="F9" s="24">
        <v>941.78</v>
      </c>
      <c r="G9" s="24">
        <v>167.46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10237.083200000001</v>
      </c>
      <c r="C10" s="26">
        <f t="shared" si="3"/>
        <v>8023.8926800000008</v>
      </c>
      <c r="D10" s="26">
        <f t="shared" si="3"/>
        <v>5854.498012</v>
      </c>
      <c r="E10" s="26">
        <f t="shared" si="3"/>
        <v>4308.7226107999995</v>
      </c>
      <c r="F10" s="26">
        <f t="shared" si="3"/>
        <v>3100.1811497199997</v>
      </c>
      <c r="G10" s="26">
        <f t="shared" si="3"/>
        <v>2622.7030347479995</v>
      </c>
      <c r="H10" s="26">
        <f t="shared" si="3"/>
        <v>2360.4327312731994</v>
      </c>
      <c r="I10" s="26">
        <f t="shared" si="3"/>
        <v>2124.3894581458794</v>
      </c>
      <c r="J10" s="26">
        <f t="shared" si="3"/>
        <v>1911.9505123312915</v>
      </c>
      <c r="K10" s="26">
        <f t="shared" si="3"/>
        <v>1720.7554610981624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</v>
      </c>
    </row>
    <row r="14" spans="1:12" ht="18" customHeight="1">
      <c r="A14" s="4" t="s">
        <v>49</v>
      </c>
      <c r="B14" s="28">
        <v>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11180.415756603648</v>
      </c>
      <c r="D3" s="14">
        <f t="shared" si="0"/>
        <v>8900.9989415460986</v>
      </c>
      <c r="E3" s="14">
        <f t="shared" si="0"/>
        <v>6334.4702682391053</v>
      </c>
      <c r="F3" s="14">
        <f t="shared" si="0"/>
        <v>4553.5001918142989</v>
      </c>
      <c r="G3" s="14">
        <f t="shared" si="0"/>
        <v>3013.4199046319727</v>
      </c>
      <c r="H3" s="14">
        <f t="shared" si="0"/>
        <v>2250.0226986028233</v>
      </c>
      <c r="I3" s="14">
        <f t="shared" si="0"/>
        <v>2021.9604287425409</v>
      </c>
      <c r="J3" s="14">
        <f t="shared" si="0"/>
        <v>1819.7643858682868</v>
      </c>
      <c r="K3" s="14">
        <f t="shared" si="0"/>
        <v>1637.7879472814582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-1118.041575660365</v>
      </c>
      <c r="D4" s="16">
        <f>-D3*Assumptions!$B$5</f>
        <v>-890.09989415460996</v>
      </c>
      <c r="E4" s="16">
        <f>-E3*Assumptions!$B$5</f>
        <v>-633.44702682391062</v>
      </c>
      <c r="F4" s="16">
        <f>-F3*Assumptions!$B$5</f>
        <v>-455.3500191814299</v>
      </c>
      <c r="G4" s="16">
        <f>-G3*Assumptions!$B$5</f>
        <v>-301.34199046319731</v>
      </c>
      <c r="H4" s="16">
        <f>-H3*Assumptions!$B$5</f>
        <v>-225.00226986028235</v>
      </c>
      <c r="I4" s="16">
        <f>-I3*Assumptions!$B$5</f>
        <v>-202.19604287425409</v>
      </c>
      <c r="J4" s="16">
        <f>-J3*Assumptions!$B$5</f>
        <v>-181.97643858682869</v>
      </c>
      <c r="K4" s="16">
        <f>-K3*Assumptions!$B$5</f>
        <v>-163.77879472814584</v>
      </c>
    </row>
    <row r="5" spans="1:12" ht="19.5" customHeight="1">
      <c r="A5" s="17" t="s">
        <v>41</v>
      </c>
      <c r="B5" s="18">
        <v>6377.56</v>
      </c>
      <c r="C5" s="18">
        <v>4800.7700000000004</v>
      </c>
      <c r="D5" s="18">
        <v>2875.52</v>
      </c>
      <c r="E5" s="18">
        <v>1590.38</v>
      </c>
      <c r="F5" s="18">
        <v>465.38</v>
      </c>
      <c r="G5" s="18">
        <v>3.06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7070.8324046975995</v>
      </c>
      <c r="C6" s="19">
        <f t="shared" si="1"/>
        <v>5322.6375108191996</v>
      </c>
      <c r="D6" s="19">
        <f t="shared" si="1"/>
        <v>3188.1032865791994</v>
      </c>
      <c r="E6" s="19">
        <f t="shared" si="1"/>
        <v>1763.2621942848</v>
      </c>
      <c r="F6" s="19">
        <f t="shared" si="1"/>
        <v>515.96911428479996</v>
      </c>
      <c r="G6" s="19">
        <f t="shared" si="1"/>
        <v>3.3926371775999997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-141.41664809395201</v>
      </c>
      <c r="C7" s="20">
        <f>-C6*Assumptions!$B$6</f>
        <v>-106.45275021638399</v>
      </c>
      <c r="D7" s="20">
        <f>-D6*Assumptions!$B$6</f>
        <v>-63.762065731583988</v>
      </c>
      <c r="E7" s="20">
        <f>-E6*Assumptions!$B$6</f>
        <v>-35.265243885696002</v>
      </c>
      <c r="F7" s="20">
        <f>-F6*Assumptions!$B$6</f>
        <v>-10.319382285695999</v>
      </c>
      <c r="G7" s="20">
        <f>-G6*Assumptions!$B$6</f>
        <v>-6.7852743551999994E-2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15929.415756603648</v>
      </c>
      <c r="C8" s="22">
        <f t="shared" si="2"/>
        <v>15278.5589415461</v>
      </c>
      <c r="D8" s="22">
        <f t="shared" si="2"/>
        <v>11135.240268239106</v>
      </c>
      <c r="E8" s="22">
        <f t="shared" si="2"/>
        <v>7429.0201918142984</v>
      </c>
      <c r="F8" s="22">
        <f t="shared" si="2"/>
        <v>4603.7999046319728</v>
      </c>
      <c r="G8" s="22">
        <f t="shared" si="2"/>
        <v>2715.4026986028234</v>
      </c>
      <c r="H8" s="22">
        <f t="shared" si="2"/>
        <v>2025.0204287425408</v>
      </c>
      <c r="I8" s="22">
        <f t="shared" si="2"/>
        <v>1819.7643858682868</v>
      </c>
      <c r="J8" s="22">
        <f t="shared" si="2"/>
        <v>1637.7879472814582</v>
      </c>
      <c r="K8" s="22">
        <f t="shared" si="2"/>
        <v>1474.0091525533123</v>
      </c>
    </row>
    <row r="9" spans="1:12" ht="19.5" customHeight="1">
      <c r="A9" s="23" t="s">
        <v>45</v>
      </c>
      <c r="B9" s="24">
        <v>4749</v>
      </c>
      <c r="C9" s="24">
        <v>6377.56</v>
      </c>
      <c r="D9" s="24">
        <v>4800.7700000000004</v>
      </c>
      <c r="E9" s="24">
        <v>2875.52</v>
      </c>
      <c r="F9" s="24">
        <v>1590.38</v>
      </c>
      <c r="G9" s="24">
        <v>465.38</v>
      </c>
      <c r="H9" s="24">
        <v>3.06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11180.415756603648</v>
      </c>
      <c r="C10" s="26">
        <f t="shared" si="3"/>
        <v>8900.9989415460986</v>
      </c>
      <c r="D10" s="26">
        <f t="shared" si="3"/>
        <v>6334.4702682391053</v>
      </c>
      <c r="E10" s="26">
        <f t="shared" si="3"/>
        <v>4553.5001918142989</v>
      </c>
      <c r="F10" s="26">
        <f t="shared" si="3"/>
        <v>3013.4199046319727</v>
      </c>
      <c r="G10" s="26">
        <f t="shared" si="3"/>
        <v>2250.0226986028233</v>
      </c>
      <c r="H10" s="26">
        <f t="shared" si="3"/>
        <v>2021.9604287425409</v>
      </c>
      <c r="I10" s="26">
        <f t="shared" si="3"/>
        <v>1819.7643858682868</v>
      </c>
      <c r="J10" s="26">
        <f t="shared" si="3"/>
        <v>1637.7879472814582</v>
      </c>
      <c r="K10" s="26">
        <f t="shared" si="3"/>
        <v>1474.0091525533123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1.0631999999999999</v>
      </c>
    </row>
    <row r="14" spans="1:12" ht="18" customHeight="1">
      <c r="A14" s="4" t="s">
        <v>49</v>
      </c>
      <c r="B14" s="28">
        <v>1.0427999999999999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L14"/>
  <sheetViews>
    <sheetView showGridLines="0" zoomScaleNormal="100" workbookViewId="0">
      <pane xSplit="1" ySplit="2" topLeftCell="B3" activePane="bottomRight" state="frozen"/>
      <selection pane="bottomRight" activeCell="D11" sqref="D11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11402.535219931688</v>
      </c>
      <c r="D3" s="14">
        <f t="shared" si="0"/>
        <v>8370.4969602174588</v>
      </c>
      <c r="E3" s="14">
        <f t="shared" si="0"/>
        <v>4755.6581262752115</v>
      </c>
      <c r="F3" s="14">
        <f t="shared" si="0"/>
        <v>2106.9946087807502</v>
      </c>
      <c r="G3" s="14">
        <f t="shared" si="0"/>
        <v>-264.2311637476646</v>
      </c>
      <c r="H3" s="14">
        <f t="shared" si="0"/>
        <v>-1176.2969241352482</v>
      </c>
      <c r="I3" s="14">
        <f t="shared" si="0"/>
        <v>-1312.6172317217236</v>
      </c>
      <c r="J3" s="14">
        <f t="shared" si="0"/>
        <v>-1181.3555085495511</v>
      </c>
      <c r="K3" s="14">
        <f t="shared" si="0"/>
        <v>-1063.2199576945959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-1140.2535219931688</v>
      </c>
      <c r="D4" s="16">
        <f>-D3*Assumptions!$B$5</f>
        <v>-837.04969602174594</v>
      </c>
      <c r="E4" s="16">
        <f>-E3*Assumptions!$B$5</f>
        <v>-475.56581262752115</v>
      </c>
      <c r="F4" s="16">
        <f>-F3*Assumptions!$B$5</f>
        <v>-210.69946087807503</v>
      </c>
      <c r="G4" s="16">
        <f>-G3*Assumptions!$B$5</f>
        <v>26.423116374766462</v>
      </c>
      <c r="H4" s="16">
        <f>-H3*Assumptions!$B$5</f>
        <v>117.62969241352482</v>
      </c>
      <c r="I4" s="16">
        <f>-I3*Assumptions!$B$5</f>
        <v>131.26172317217237</v>
      </c>
      <c r="J4" s="16">
        <f>-J3*Assumptions!$B$5</f>
        <v>118.13555085495511</v>
      </c>
      <c r="K4" s="16">
        <f>-K3*Assumptions!$B$5</f>
        <v>106.32199576945959</v>
      </c>
    </row>
    <row r="5" spans="1:12" ht="19.5" customHeight="1">
      <c r="A5" s="17" t="s">
        <v>41</v>
      </c>
      <c r="B5" s="18">
        <v>9973.67</v>
      </c>
      <c r="C5" s="18">
        <v>8180.42</v>
      </c>
      <c r="D5" s="18">
        <v>5468.5</v>
      </c>
      <c r="E5" s="18">
        <v>3335.58</v>
      </c>
      <c r="F5" s="18">
        <v>1189.3800000000001</v>
      </c>
      <c r="G5" s="18">
        <v>253.95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10054.627775440498</v>
      </c>
      <c r="C6" s="19">
        <f t="shared" si="1"/>
        <v>8246.8216962030001</v>
      </c>
      <c r="D6" s="19">
        <f t="shared" si="1"/>
        <v>5512.8886347750004</v>
      </c>
      <c r="E6" s="19">
        <f t="shared" si="1"/>
        <v>3362.6554031969999</v>
      </c>
      <c r="F6" s="19">
        <f t="shared" si="1"/>
        <v>1199.0343758670001</v>
      </c>
      <c r="G6" s="19">
        <f t="shared" si="1"/>
        <v>256.01135024249999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-201.09255550880997</v>
      </c>
      <c r="C7" s="20">
        <f>-C6*Assumptions!$B$6</f>
        <v>-164.93643392406</v>
      </c>
      <c r="D7" s="20">
        <f>-D6*Assumptions!$B$6</f>
        <v>-110.25777269550001</v>
      </c>
      <c r="E7" s="20">
        <f>-E6*Assumptions!$B$6</f>
        <v>-67.253108063940005</v>
      </c>
      <c r="F7" s="20">
        <f>-F6*Assumptions!$B$6</f>
        <v>-23.980687517340002</v>
      </c>
      <c r="G7" s="20">
        <f>-G6*Assumptions!$B$6</f>
        <v>-5.1202270048500003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18853.535219931688</v>
      </c>
      <c r="C8" s="22">
        <f t="shared" si="2"/>
        <v>18344.166960217459</v>
      </c>
      <c r="D8" s="22">
        <f t="shared" si="2"/>
        <v>12936.078126275212</v>
      </c>
      <c r="E8" s="22">
        <f t="shared" si="2"/>
        <v>7575.4946087807502</v>
      </c>
      <c r="F8" s="22">
        <f t="shared" si="2"/>
        <v>3071.3488362523353</v>
      </c>
      <c r="G8" s="22">
        <f t="shared" si="2"/>
        <v>13.083075864751855</v>
      </c>
      <c r="H8" s="22">
        <f t="shared" si="2"/>
        <v>-1058.6672317217235</v>
      </c>
      <c r="I8" s="22">
        <f t="shared" si="2"/>
        <v>-1181.3555085495511</v>
      </c>
      <c r="J8" s="22">
        <f t="shared" si="2"/>
        <v>-1063.2199576945959</v>
      </c>
      <c r="K8" s="22">
        <f t="shared" si="2"/>
        <v>-956.89796192513631</v>
      </c>
    </row>
    <row r="9" spans="1:12" ht="19.5" customHeight="1">
      <c r="A9" s="23" t="s">
        <v>45</v>
      </c>
      <c r="B9" s="24">
        <v>7451</v>
      </c>
      <c r="C9" s="24">
        <v>9973.67</v>
      </c>
      <c r="D9" s="24">
        <v>8180.42</v>
      </c>
      <c r="E9" s="24">
        <v>5468.5</v>
      </c>
      <c r="F9" s="24">
        <v>3335.58</v>
      </c>
      <c r="G9" s="24">
        <v>1189.3800000000001</v>
      </c>
      <c r="H9" s="24">
        <v>253.95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11402.535219931688</v>
      </c>
      <c r="C10" s="26">
        <f t="shared" si="3"/>
        <v>8370.4969602174588</v>
      </c>
      <c r="D10" s="26">
        <f t="shared" si="3"/>
        <v>4755.6581262752115</v>
      </c>
      <c r="E10" s="26">
        <f t="shared" si="3"/>
        <v>2106.9946087807502</v>
      </c>
      <c r="F10" s="26">
        <f t="shared" si="3"/>
        <v>-264.2311637476646</v>
      </c>
      <c r="G10" s="26">
        <f t="shared" si="3"/>
        <v>-1176.2969241352482</v>
      </c>
      <c r="H10" s="26">
        <f t="shared" si="3"/>
        <v>-1312.6172317217236</v>
      </c>
      <c r="I10" s="26">
        <f t="shared" si="3"/>
        <v>-1181.3555085495511</v>
      </c>
      <c r="J10" s="26">
        <f t="shared" si="3"/>
        <v>-1063.2199576945959</v>
      </c>
      <c r="K10" s="26">
        <f t="shared" si="3"/>
        <v>-956.89796192513631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0.94650000000000001</v>
      </c>
    </row>
    <row r="14" spans="1:12" ht="18" customHeight="1">
      <c r="A14" s="4" t="s">
        <v>49</v>
      </c>
      <c r="B14" s="28">
        <v>1.0650999999999999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12291.014705736463</v>
      </c>
      <c r="D3" s="14">
        <f t="shared" si="0"/>
        <v>9364.2245122888035</v>
      </c>
      <c r="E3" s="14">
        <f t="shared" si="0"/>
        <v>5997.8373261572015</v>
      </c>
      <c r="F3" s="14">
        <f t="shared" si="0"/>
        <v>3299.1788044721525</v>
      </c>
      <c r="G3" s="14">
        <f t="shared" si="0"/>
        <v>920.29419345468114</v>
      </c>
      <c r="H3" s="14">
        <f t="shared" si="0"/>
        <v>-147.66460109304285</v>
      </c>
      <c r="I3" s="14">
        <f t="shared" si="0"/>
        <v>-385.26814098373859</v>
      </c>
      <c r="J3" s="14">
        <f t="shared" si="0"/>
        <v>-346.74132688536474</v>
      </c>
      <c r="K3" s="14">
        <f t="shared" si="0"/>
        <v>-312.06719419682827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-1229.1014705736463</v>
      </c>
      <c r="D4" s="16">
        <f>-D3*Assumptions!$B$5</f>
        <v>-936.42245122888039</v>
      </c>
      <c r="E4" s="16">
        <f>-E3*Assumptions!$B$5</f>
        <v>-599.78373261572017</v>
      </c>
      <c r="F4" s="16">
        <f>-F3*Assumptions!$B$5</f>
        <v>-329.91788044721528</v>
      </c>
      <c r="G4" s="16">
        <f>-G3*Assumptions!$B$5</f>
        <v>-92.029419345468114</v>
      </c>
      <c r="H4" s="16">
        <f>-H3*Assumptions!$B$5</f>
        <v>14.766460109304285</v>
      </c>
      <c r="I4" s="16">
        <f>-I3*Assumptions!$B$5</f>
        <v>38.526814098373862</v>
      </c>
      <c r="J4" s="16">
        <f>-J3*Assumptions!$B$5</f>
        <v>34.674132688536474</v>
      </c>
      <c r="K4" s="16">
        <f>-K3*Assumptions!$B$5</f>
        <v>31.206719419682827</v>
      </c>
    </row>
    <row r="5" spans="1:12" ht="19.5" customHeight="1">
      <c r="A5" s="17" t="s">
        <v>41</v>
      </c>
      <c r="B5" s="18">
        <v>10170.469999999999</v>
      </c>
      <c r="C5" s="18">
        <v>8178.82</v>
      </c>
      <c r="D5" s="18">
        <v>5549.4</v>
      </c>
      <c r="E5" s="18">
        <v>3330.81</v>
      </c>
      <c r="F5" s="18">
        <v>1237.3699999999999</v>
      </c>
      <c r="G5" s="18">
        <v>252.37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10751.035414016798</v>
      </c>
      <c r="C6" s="19">
        <f t="shared" si="1"/>
        <v>8645.6951807408004</v>
      </c>
      <c r="D6" s="19">
        <f t="shared" si="1"/>
        <v>5866.1788419359991</v>
      </c>
      <c r="E6" s="19">
        <f t="shared" si="1"/>
        <v>3520.9440927864002</v>
      </c>
      <c r="F6" s="19">
        <f t="shared" si="1"/>
        <v>1308.0033361527999</v>
      </c>
      <c r="G6" s="19">
        <f t="shared" si="1"/>
        <v>266.7761477528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-215.02070828033598</v>
      </c>
      <c r="C7" s="20">
        <f>-C6*Assumptions!$B$6</f>
        <v>-172.91390361481601</v>
      </c>
      <c r="D7" s="20">
        <f>-D6*Assumptions!$B$6</f>
        <v>-117.32357683871999</v>
      </c>
      <c r="E7" s="20">
        <f>-E6*Assumptions!$B$6</f>
        <v>-70.418881855728003</v>
      </c>
      <c r="F7" s="20">
        <f>-F6*Assumptions!$B$6</f>
        <v>-26.160066723055998</v>
      </c>
      <c r="G7" s="20">
        <f>-G6*Assumptions!$B$6</f>
        <v>-5.3355229550559997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19536.014705736463</v>
      </c>
      <c r="C8" s="22">
        <f t="shared" si="2"/>
        <v>19534.694512288803</v>
      </c>
      <c r="D8" s="22">
        <f t="shared" si="2"/>
        <v>14176.657326157201</v>
      </c>
      <c r="E8" s="22">
        <f t="shared" si="2"/>
        <v>8848.5788044721521</v>
      </c>
      <c r="F8" s="22">
        <f t="shared" si="2"/>
        <v>4251.1041934546811</v>
      </c>
      <c r="G8" s="22">
        <f t="shared" si="2"/>
        <v>1089.705398906957</v>
      </c>
      <c r="H8" s="22">
        <f t="shared" si="2"/>
        <v>-132.89814098373856</v>
      </c>
      <c r="I8" s="22">
        <f t="shared" si="2"/>
        <v>-346.74132688536474</v>
      </c>
      <c r="J8" s="22">
        <f t="shared" si="2"/>
        <v>-312.06719419682827</v>
      </c>
      <c r="K8" s="22">
        <f t="shared" si="2"/>
        <v>-280.86047477714544</v>
      </c>
    </row>
    <row r="9" spans="1:12" ht="19.5" customHeight="1">
      <c r="A9" s="23" t="s">
        <v>45</v>
      </c>
      <c r="B9" s="24">
        <v>7245</v>
      </c>
      <c r="C9" s="24">
        <v>10170.469999999999</v>
      </c>
      <c r="D9" s="24">
        <v>8178.82</v>
      </c>
      <c r="E9" s="24">
        <v>5549.4</v>
      </c>
      <c r="F9" s="24">
        <v>3330.81</v>
      </c>
      <c r="G9" s="24">
        <v>1237.3699999999999</v>
      </c>
      <c r="H9" s="24">
        <v>252.37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12291.014705736463</v>
      </c>
      <c r="C10" s="26">
        <f t="shared" si="3"/>
        <v>9364.2245122888035</v>
      </c>
      <c r="D10" s="26">
        <f t="shared" si="3"/>
        <v>5997.8373261572015</v>
      </c>
      <c r="E10" s="26">
        <f t="shared" si="3"/>
        <v>3299.1788044721525</v>
      </c>
      <c r="F10" s="26">
        <f t="shared" si="3"/>
        <v>920.29419345468114</v>
      </c>
      <c r="G10" s="26">
        <f t="shared" si="3"/>
        <v>-147.66460109304285</v>
      </c>
      <c r="H10" s="26">
        <f t="shared" si="3"/>
        <v>-385.26814098373859</v>
      </c>
      <c r="I10" s="26">
        <f t="shared" si="3"/>
        <v>-346.74132688536474</v>
      </c>
      <c r="J10" s="26">
        <f t="shared" si="3"/>
        <v>-312.06719419682827</v>
      </c>
      <c r="K10" s="26">
        <f t="shared" si="3"/>
        <v>-280.86047477714544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1.0428999999999999</v>
      </c>
    </row>
    <row r="14" spans="1:12" ht="18" customHeight="1">
      <c r="A14" s="4" t="s">
        <v>49</v>
      </c>
      <c r="B14" s="28">
        <v>1.0136000000000001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10696.141475356775</v>
      </c>
      <c r="D3" s="14">
        <f t="shared" si="0"/>
        <v>9244.2487827843215</v>
      </c>
      <c r="E3" s="14">
        <f t="shared" si="0"/>
        <v>7582.5949553277351</v>
      </c>
      <c r="F3" s="14">
        <f t="shared" si="0"/>
        <v>6251.1485639955381</v>
      </c>
      <c r="G3" s="14">
        <f t="shared" si="0"/>
        <v>5137.8426822648571</v>
      </c>
      <c r="H3" s="14">
        <f t="shared" si="0"/>
        <v>4599.7684140383717</v>
      </c>
      <c r="I3" s="14">
        <f t="shared" si="0"/>
        <v>4139.7915726345345</v>
      </c>
      <c r="J3" s="14">
        <f t="shared" si="0"/>
        <v>3725.812415371081</v>
      </c>
      <c r="K3" s="14">
        <f t="shared" si="0"/>
        <v>3353.2311738339731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-1069.6141475356776</v>
      </c>
      <c r="D4" s="16">
        <f>-D3*Assumptions!$B$5</f>
        <v>-924.42487827843217</v>
      </c>
      <c r="E4" s="16">
        <f>-E3*Assumptions!$B$5</f>
        <v>-758.2594955327736</v>
      </c>
      <c r="F4" s="16">
        <f>-F3*Assumptions!$B$5</f>
        <v>-625.1148563995539</v>
      </c>
      <c r="G4" s="16">
        <f>-G3*Assumptions!$B$5</f>
        <v>-513.78426822648578</v>
      </c>
      <c r="H4" s="16">
        <f>-H3*Assumptions!$B$5</f>
        <v>-459.97684140383717</v>
      </c>
      <c r="I4" s="16">
        <f>-I3*Assumptions!$B$5</f>
        <v>-413.97915726345349</v>
      </c>
      <c r="J4" s="16">
        <f>-J3*Assumptions!$B$5</f>
        <v>-372.5812415371081</v>
      </c>
      <c r="K4" s="16">
        <f>-K3*Assumptions!$B$5</f>
        <v>-335.32311738339735</v>
      </c>
    </row>
    <row r="5" spans="1:12" ht="19.5" customHeight="1">
      <c r="A5" s="17" t="s">
        <v>41</v>
      </c>
      <c r="B5" s="18">
        <v>2806.57</v>
      </c>
      <c r="C5" s="18">
        <v>2093.4299999999998</v>
      </c>
      <c r="D5" s="18">
        <v>1171.1099999999999</v>
      </c>
      <c r="E5" s="18">
        <v>516.32000000000005</v>
      </c>
      <c r="F5" s="18">
        <v>24.29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3316.4708932211997</v>
      </c>
      <c r="C6" s="19">
        <f t="shared" si="1"/>
        <v>2473.7667907787995</v>
      </c>
      <c r="D6" s="19">
        <f t="shared" si="1"/>
        <v>1383.8786232875998</v>
      </c>
      <c r="E6" s="19">
        <f t="shared" si="1"/>
        <v>610.12561653120008</v>
      </c>
      <c r="F6" s="19">
        <f t="shared" si="1"/>
        <v>28.703035376399995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-66.329417864424002</v>
      </c>
      <c r="C7" s="20">
        <f>-C6*Assumptions!$B$6</f>
        <v>-49.475335815575988</v>
      </c>
      <c r="D7" s="20">
        <f>-D6*Assumptions!$B$6</f>
        <v>-27.677572465751997</v>
      </c>
      <c r="E7" s="20">
        <f>-E6*Assumptions!$B$6</f>
        <v>-12.202512330624002</v>
      </c>
      <c r="F7" s="20">
        <f>-F6*Assumptions!$B$6</f>
        <v>-0.57406070752799987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12250.141475356775</v>
      </c>
      <c r="C8" s="22">
        <f t="shared" si="2"/>
        <v>12050.818782784321</v>
      </c>
      <c r="D8" s="22">
        <f t="shared" si="2"/>
        <v>9676.0249553277354</v>
      </c>
      <c r="E8" s="22">
        <f t="shared" si="2"/>
        <v>7422.2585639955378</v>
      </c>
      <c r="F8" s="22">
        <f t="shared" si="2"/>
        <v>5654.1626822648568</v>
      </c>
      <c r="G8" s="22">
        <f t="shared" si="2"/>
        <v>4624.0584140383717</v>
      </c>
      <c r="H8" s="22">
        <f t="shared" si="2"/>
        <v>4139.7915726345345</v>
      </c>
      <c r="I8" s="22">
        <f t="shared" si="2"/>
        <v>3725.812415371081</v>
      </c>
      <c r="J8" s="22">
        <f t="shared" si="2"/>
        <v>3353.2311738339731</v>
      </c>
      <c r="K8" s="22">
        <f t="shared" si="2"/>
        <v>3017.9080564505757</v>
      </c>
    </row>
    <row r="9" spans="1:12" ht="19.5" customHeight="1">
      <c r="A9" s="23" t="s">
        <v>45</v>
      </c>
      <c r="B9" s="24">
        <v>1554</v>
      </c>
      <c r="C9" s="24">
        <v>2806.57</v>
      </c>
      <c r="D9" s="24">
        <v>2093.4299999999998</v>
      </c>
      <c r="E9" s="24">
        <v>1171.1099999999999</v>
      </c>
      <c r="F9" s="24">
        <v>516.32000000000005</v>
      </c>
      <c r="G9" s="24">
        <v>24.29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10696.141475356775</v>
      </c>
      <c r="C10" s="26">
        <f t="shared" si="3"/>
        <v>9244.2487827843215</v>
      </c>
      <c r="D10" s="26">
        <f t="shared" si="3"/>
        <v>7582.5949553277351</v>
      </c>
      <c r="E10" s="26">
        <f t="shared" si="3"/>
        <v>6251.1485639955381</v>
      </c>
      <c r="F10" s="26">
        <f t="shared" si="3"/>
        <v>5137.8426822648571</v>
      </c>
      <c r="G10" s="26">
        <f t="shared" si="3"/>
        <v>4599.7684140383717</v>
      </c>
      <c r="H10" s="26">
        <f t="shared" si="3"/>
        <v>4139.7915726345345</v>
      </c>
      <c r="I10" s="26">
        <f t="shared" si="3"/>
        <v>3725.812415371081</v>
      </c>
      <c r="J10" s="26">
        <f t="shared" si="3"/>
        <v>3353.2311738339731</v>
      </c>
      <c r="K10" s="26">
        <f t="shared" si="3"/>
        <v>3017.9080564505757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1.1737</v>
      </c>
    </row>
    <row r="14" spans="1:12" ht="18" customHeight="1">
      <c r="A14" s="4" t="s">
        <v>49</v>
      </c>
      <c r="B14" s="28">
        <v>1.0067999999999999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10588.88931275976</v>
      </c>
      <c r="D3" s="14">
        <f t="shared" si="0"/>
        <v>8702.144673087585</v>
      </c>
      <c r="E3" s="14">
        <f t="shared" si="0"/>
        <v>6675.6414290876655</v>
      </c>
      <c r="F3" s="14">
        <f t="shared" si="0"/>
        <v>5184.548966165019</v>
      </c>
      <c r="G3" s="14">
        <f t="shared" si="0"/>
        <v>3972.0309558153167</v>
      </c>
      <c r="H3" s="14">
        <f t="shared" si="0"/>
        <v>3464.7278602337851</v>
      </c>
      <c r="I3" s="14">
        <f t="shared" si="0"/>
        <v>3118.2550742104067</v>
      </c>
      <c r="J3" s="14">
        <f t="shared" si="0"/>
        <v>2806.4295667893662</v>
      </c>
      <c r="K3" s="14">
        <f t="shared" si="0"/>
        <v>2525.7866101104296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-1058.8889312759761</v>
      </c>
      <c r="D4" s="16">
        <f>-D3*Assumptions!$B$5</f>
        <v>-870.21446730875857</v>
      </c>
      <c r="E4" s="16">
        <f>-E3*Assumptions!$B$5</f>
        <v>-667.5641429087666</v>
      </c>
      <c r="F4" s="16">
        <f>-F3*Assumptions!$B$5</f>
        <v>-518.45489661650197</v>
      </c>
      <c r="G4" s="16">
        <f>-G3*Assumptions!$B$5</f>
        <v>-397.20309558153167</v>
      </c>
      <c r="H4" s="16">
        <f>-H3*Assumptions!$B$5</f>
        <v>-346.47278602337855</v>
      </c>
      <c r="I4" s="16">
        <f>-I3*Assumptions!$B$5</f>
        <v>-311.8255074210407</v>
      </c>
      <c r="J4" s="16">
        <f>-J3*Assumptions!$B$5</f>
        <v>-280.64295667893663</v>
      </c>
      <c r="K4" s="16">
        <f>-K3*Assumptions!$B$5</f>
        <v>-252.57866101104298</v>
      </c>
    </row>
    <row r="5" spans="1:12" ht="19.5" customHeight="1">
      <c r="A5" s="17" t="s">
        <v>41</v>
      </c>
      <c r="B5" s="18">
        <v>3831.82</v>
      </c>
      <c r="C5" s="18">
        <v>2887.85</v>
      </c>
      <c r="D5" s="18">
        <v>1664.63</v>
      </c>
      <c r="E5" s="18">
        <v>808.59</v>
      </c>
      <c r="F5" s="18">
        <v>110.1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4067.2339926120007</v>
      </c>
      <c r="C6" s="19">
        <f t="shared" si="1"/>
        <v>3065.2696853100001</v>
      </c>
      <c r="D6" s="19">
        <f t="shared" si="1"/>
        <v>1766.8992074580003</v>
      </c>
      <c r="E6" s="19">
        <f t="shared" si="1"/>
        <v>858.26702039400016</v>
      </c>
      <c r="F6" s="19">
        <f t="shared" si="1"/>
        <v>116.86416966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-81.34467985224002</v>
      </c>
      <c r="C7" s="20">
        <f>-C6*Assumptions!$B$6</f>
        <v>-61.3053937062</v>
      </c>
      <c r="D7" s="20">
        <f>-D6*Assumptions!$B$6</f>
        <v>-35.337984149160008</v>
      </c>
      <c r="E7" s="20">
        <f>-E6*Assumptions!$B$6</f>
        <v>-17.165340407880002</v>
      </c>
      <c r="F7" s="20">
        <f>-F6*Assumptions!$B$6</f>
        <v>-2.3372833931999999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12985.88931275976</v>
      </c>
      <c r="C8" s="22">
        <f t="shared" si="2"/>
        <v>12533.964673087585</v>
      </c>
      <c r="D8" s="22">
        <f t="shared" si="2"/>
        <v>9563.4914290876659</v>
      </c>
      <c r="E8" s="22">
        <f t="shared" si="2"/>
        <v>6849.1789661650191</v>
      </c>
      <c r="F8" s="22">
        <f t="shared" si="2"/>
        <v>4780.6209558153168</v>
      </c>
      <c r="G8" s="22">
        <f t="shared" si="2"/>
        <v>3574.827860233785</v>
      </c>
      <c r="H8" s="22">
        <f t="shared" si="2"/>
        <v>3118.2550742104067</v>
      </c>
      <c r="I8" s="22">
        <f t="shared" si="2"/>
        <v>2806.4295667893662</v>
      </c>
      <c r="J8" s="22">
        <f t="shared" si="2"/>
        <v>2525.7866101104296</v>
      </c>
      <c r="K8" s="22">
        <f t="shared" si="2"/>
        <v>2273.2079490993865</v>
      </c>
    </row>
    <row r="9" spans="1:12" ht="19.5" customHeight="1">
      <c r="A9" s="23" t="s">
        <v>45</v>
      </c>
      <c r="B9" s="24">
        <v>2397</v>
      </c>
      <c r="C9" s="24">
        <v>3831.82</v>
      </c>
      <c r="D9" s="24">
        <v>2887.85</v>
      </c>
      <c r="E9" s="24">
        <v>1664.63</v>
      </c>
      <c r="F9" s="24">
        <v>808.59</v>
      </c>
      <c r="G9" s="24">
        <v>110.1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10588.88931275976</v>
      </c>
      <c r="C10" s="26">
        <f t="shared" si="3"/>
        <v>8702.144673087585</v>
      </c>
      <c r="D10" s="26">
        <f t="shared" si="3"/>
        <v>6675.6414290876655</v>
      </c>
      <c r="E10" s="26">
        <f t="shared" si="3"/>
        <v>5184.548966165019</v>
      </c>
      <c r="F10" s="26">
        <f t="shared" si="3"/>
        <v>3972.0309558153167</v>
      </c>
      <c r="G10" s="26">
        <f t="shared" si="3"/>
        <v>3464.7278602337851</v>
      </c>
      <c r="H10" s="26">
        <f t="shared" si="3"/>
        <v>3118.2550742104067</v>
      </c>
      <c r="I10" s="26">
        <f t="shared" si="3"/>
        <v>2806.4295667893662</v>
      </c>
      <c r="J10" s="26">
        <f t="shared" si="3"/>
        <v>2525.7866101104296</v>
      </c>
      <c r="K10" s="26">
        <f t="shared" si="3"/>
        <v>2273.2079490993865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1.0980000000000001</v>
      </c>
    </row>
    <row r="14" spans="1:12" ht="18" customHeight="1">
      <c r="A14" s="4" t="s">
        <v>49</v>
      </c>
      <c r="B14" s="28">
        <v>0.9667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10085.37306070603</v>
      </c>
      <c r="D3" s="14">
        <f t="shared" si="0"/>
        <v>8004.3020694816023</v>
      </c>
      <c r="E3" s="14">
        <f t="shared" si="0"/>
        <v>5908.0253931493698</v>
      </c>
      <c r="F3" s="14">
        <f t="shared" si="0"/>
        <v>4320.5528890503592</v>
      </c>
      <c r="G3" s="14">
        <f t="shared" si="0"/>
        <v>2994.9755029046637</v>
      </c>
      <c r="H3" s="14">
        <f t="shared" si="0"/>
        <v>2458.3779526141975</v>
      </c>
      <c r="I3" s="14">
        <f t="shared" si="0"/>
        <v>2212.5401573527779</v>
      </c>
      <c r="J3" s="14">
        <f t="shared" si="0"/>
        <v>1991.2861416175001</v>
      </c>
      <c r="K3" s="14">
        <f t="shared" si="0"/>
        <v>1792.1575274557501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-1008.537306070603</v>
      </c>
      <c r="D4" s="16">
        <f>-D3*Assumptions!$B$5</f>
        <v>-800.43020694816028</v>
      </c>
      <c r="E4" s="16">
        <f>-E3*Assumptions!$B$5</f>
        <v>-590.80253931493701</v>
      </c>
      <c r="F4" s="16">
        <f>-F3*Assumptions!$B$5</f>
        <v>-432.05528890503592</v>
      </c>
      <c r="G4" s="16">
        <f>-G3*Assumptions!$B$5</f>
        <v>-299.49755029046639</v>
      </c>
      <c r="H4" s="16">
        <f>-H3*Assumptions!$B$5</f>
        <v>-245.83779526141976</v>
      </c>
      <c r="I4" s="16">
        <f>-I3*Assumptions!$B$5</f>
        <v>-221.25401573527779</v>
      </c>
      <c r="J4" s="16">
        <f>-J3*Assumptions!$B$5</f>
        <v>-199.12861416175002</v>
      </c>
      <c r="K4" s="16">
        <f>-K3*Assumptions!$B$5</f>
        <v>-179.21575274557503</v>
      </c>
    </row>
    <row r="5" spans="1:12" ht="19.5" customHeight="1">
      <c r="A5" s="17" t="s">
        <v>41</v>
      </c>
      <c r="B5" s="18">
        <v>4516.08</v>
      </c>
      <c r="C5" s="18">
        <v>3433.44</v>
      </c>
      <c r="D5" s="18">
        <v>2131.3200000000002</v>
      </c>
      <c r="E5" s="18">
        <v>1131.32</v>
      </c>
      <c r="F5" s="18">
        <v>237.1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4621.8092456183995</v>
      </c>
      <c r="C6" s="19">
        <f t="shared" si="1"/>
        <v>3513.8227702511999</v>
      </c>
      <c r="D6" s="19">
        <f t="shared" si="1"/>
        <v>2181.2178883836</v>
      </c>
      <c r="E6" s="19">
        <f t="shared" si="1"/>
        <v>1157.8061583835999</v>
      </c>
      <c r="F6" s="19">
        <f t="shared" si="1"/>
        <v>242.65092118300001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-92.436184912367992</v>
      </c>
      <c r="C7" s="20">
        <f>-C6*Assumptions!$B$6</f>
        <v>-70.276455405023995</v>
      </c>
      <c r="D7" s="20">
        <f>-D6*Assumptions!$B$6</f>
        <v>-43.624357767672002</v>
      </c>
      <c r="E7" s="20">
        <f>-E6*Assumptions!$B$6</f>
        <v>-23.156123167672</v>
      </c>
      <c r="F7" s="20">
        <f>-F6*Assumptions!$B$6</f>
        <v>-4.85301842366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13529.37306070603</v>
      </c>
      <c r="C8" s="22">
        <f t="shared" si="2"/>
        <v>12520.382069481602</v>
      </c>
      <c r="D8" s="22">
        <f t="shared" si="2"/>
        <v>9341.4653931493704</v>
      </c>
      <c r="E8" s="22">
        <f t="shared" si="2"/>
        <v>6451.8728890503598</v>
      </c>
      <c r="F8" s="22">
        <f t="shared" si="2"/>
        <v>4126.2955029046634</v>
      </c>
      <c r="G8" s="22">
        <f t="shared" si="2"/>
        <v>2695.4779526141974</v>
      </c>
      <c r="H8" s="22">
        <f t="shared" si="2"/>
        <v>2212.5401573527779</v>
      </c>
      <c r="I8" s="22">
        <f t="shared" si="2"/>
        <v>1991.2861416175001</v>
      </c>
      <c r="J8" s="22">
        <f t="shared" si="2"/>
        <v>1792.1575274557501</v>
      </c>
      <c r="K8" s="22">
        <f t="shared" si="2"/>
        <v>1612.9417747101752</v>
      </c>
    </row>
    <row r="9" spans="1:12" ht="19.5" customHeight="1">
      <c r="A9" s="23" t="s">
        <v>45</v>
      </c>
      <c r="B9" s="24">
        <v>3444</v>
      </c>
      <c r="C9" s="24">
        <v>4516.08</v>
      </c>
      <c r="D9" s="24">
        <v>3433.44</v>
      </c>
      <c r="E9" s="24">
        <v>2131.3200000000002</v>
      </c>
      <c r="F9" s="24">
        <v>1131.32</v>
      </c>
      <c r="G9" s="24">
        <v>237.1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10085.37306070603</v>
      </c>
      <c r="C10" s="26">
        <f t="shared" si="3"/>
        <v>8004.3020694816023</v>
      </c>
      <c r="D10" s="26">
        <f t="shared" si="3"/>
        <v>5908.0253931493698</v>
      </c>
      <c r="E10" s="26">
        <f t="shared" si="3"/>
        <v>4320.5528890503592</v>
      </c>
      <c r="F10" s="26">
        <f t="shared" si="3"/>
        <v>2994.9755029046637</v>
      </c>
      <c r="G10" s="26">
        <f t="shared" si="3"/>
        <v>2458.3779526141975</v>
      </c>
      <c r="H10" s="26">
        <f t="shared" si="3"/>
        <v>2212.5401573527779</v>
      </c>
      <c r="I10" s="26">
        <f t="shared" si="3"/>
        <v>1991.2861416175001</v>
      </c>
      <c r="J10" s="26">
        <f t="shared" si="3"/>
        <v>1792.1575274557501</v>
      </c>
      <c r="K10" s="26">
        <f t="shared" si="3"/>
        <v>1612.9417747101752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1.0488999999999999</v>
      </c>
    </row>
    <row r="14" spans="1:12" ht="18" customHeight="1">
      <c r="A14" s="4" t="s">
        <v>49</v>
      </c>
      <c r="B14" s="28">
        <v>0.97570000000000001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10092.350071662675</v>
      </c>
      <c r="D3" s="14">
        <f t="shared" si="0"/>
        <v>7708.3713789966423</v>
      </c>
      <c r="E3" s="14">
        <f t="shared" si="0"/>
        <v>5461.9126083491446</v>
      </c>
      <c r="F3" s="14">
        <f t="shared" si="0"/>
        <v>3747.8771446595697</v>
      </c>
      <c r="G3" s="14">
        <f t="shared" si="0"/>
        <v>2451.4486706047387</v>
      </c>
      <c r="H3" s="14">
        <f t="shared" si="0"/>
        <v>1959.7138035442651</v>
      </c>
      <c r="I3" s="14">
        <f t="shared" si="0"/>
        <v>1763.7424231898385</v>
      </c>
      <c r="J3" s="14">
        <f t="shared" si="0"/>
        <v>1587.3681808708548</v>
      </c>
      <c r="K3" s="14">
        <f t="shared" si="0"/>
        <v>1428.6313627837692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-1009.2350071662676</v>
      </c>
      <c r="D4" s="16">
        <f>-D3*Assumptions!$B$5</f>
        <v>-770.8371378996643</v>
      </c>
      <c r="E4" s="16">
        <f>-E3*Assumptions!$B$5</f>
        <v>-546.19126083491449</v>
      </c>
      <c r="F4" s="16">
        <f>-F3*Assumptions!$B$5</f>
        <v>-374.78771446595698</v>
      </c>
      <c r="G4" s="16">
        <f>-G3*Assumptions!$B$5</f>
        <v>-245.14486706047387</v>
      </c>
      <c r="H4" s="16">
        <f>-H3*Assumptions!$B$5</f>
        <v>-195.97138035442651</v>
      </c>
      <c r="I4" s="16">
        <f>-I3*Assumptions!$B$5</f>
        <v>-176.37424231898387</v>
      </c>
      <c r="J4" s="16">
        <f>-J3*Assumptions!$B$5</f>
        <v>-158.73681808708548</v>
      </c>
      <c r="K4" s="16">
        <f>-K3*Assumptions!$B$5</f>
        <v>-142.86313627837691</v>
      </c>
    </row>
    <row r="5" spans="1:12" ht="19.5" customHeight="1">
      <c r="A5" s="17" t="s">
        <v>41</v>
      </c>
      <c r="B5" s="18">
        <v>4742.34</v>
      </c>
      <c r="C5" s="18">
        <v>3587.74</v>
      </c>
      <c r="D5" s="18">
        <v>2250.19</v>
      </c>
      <c r="E5" s="18">
        <v>1153.0999999999999</v>
      </c>
      <c r="F5" s="18">
        <v>246.59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4542.1939506762001</v>
      </c>
      <c r="C6" s="19">
        <f t="shared" si="1"/>
        <v>3436.3227698981996</v>
      </c>
      <c r="D6" s="19">
        <f t="shared" si="1"/>
        <v>2155.2228237267</v>
      </c>
      <c r="E6" s="19">
        <f t="shared" si="1"/>
        <v>1104.4344868829999</v>
      </c>
      <c r="F6" s="19">
        <f t="shared" si="1"/>
        <v>236.18289837869997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-90.843879013524003</v>
      </c>
      <c r="C7" s="20">
        <f>-C6*Assumptions!$B$6</f>
        <v>-68.726455397963989</v>
      </c>
      <c r="D7" s="20">
        <f>-D6*Assumptions!$B$6</f>
        <v>-43.104456474533997</v>
      </c>
      <c r="E7" s="20">
        <f>-E6*Assumptions!$B$6</f>
        <v>-22.088689737659998</v>
      </c>
      <c r="F7" s="20">
        <f>-F6*Assumptions!$B$6</f>
        <v>-4.7236579675739998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13451.350071662675</v>
      </c>
      <c r="C8" s="22">
        <f t="shared" si="2"/>
        <v>12450.711378996642</v>
      </c>
      <c r="D8" s="22">
        <f t="shared" si="2"/>
        <v>9049.6526083491444</v>
      </c>
      <c r="E8" s="22">
        <f t="shared" si="2"/>
        <v>5998.0671446595697</v>
      </c>
      <c r="F8" s="22">
        <f t="shared" si="2"/>
        <v>3604.5486706047386</v>
      </c>
      <c r="G8" s="22">
        <f t="shared" si="2"/>
        <v>2206.3038035442651</v>
      </c>
      <c r="H8" s="22">
        <f t="shared" si="2"/>
        <v>1763.7424231898385</v>
      </c>
      <c r="I8" s="22">
        <f t="shared" si="2"/>
        <v>1587.3681808708548</v>
      </c>
      <c r="J8" s="22">
        <f t="shared" si="2"/>
        <v>1428.6313627837692</v>
      </c>
      <c r="K8" s="22">
        <f t="shared" si="2"/>
        <v>1285.7682265053922</v>
      </c>
    </row>
    <row r="9" spans="1:12" ht="19.5" customHeight="1">
      <c r="A9" s="23" t="s">
        <v>45</v>
      </c>
      <c r="B9" s="24">
        <v>3359</v>
      </c>
      <c r="C9" s="24">
        <v>4742.34</v>
      </c>
      <c r="D9" s="24">
        <v>3587.74</v>
      </c>
      <c r="E9" s="24">
        <v>2250.19</v>
      </c>
      <c r="F9" s="24">
        <v>1153.0999999999999</v>
      </c>
      <c r="G9" s="24">
        <v>246.59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10092.350071662675</v>
      </c>
      <c r="C10" s="26">
        <f t="shared" si="3"/>
        <v>7708.3713789966423</v>
      </c>
      <c r="D10" s="26">
        <f t="shared" si="3"/>
        <v>5461.9126083491446</v>
      </c>
      <c r="E10" s="26">
        <f t="shared" si="3"/>
        <v>3747.8771446595697</v>
      </c>
      <c r="F10" s="26">
        <f t="shared" si="3"/>
        <v>2451.4486706047387</v>
      </c>
      <c r="G10" s="26">
        <f t="shared" si="3"/>
        <v>1959.7138035442651</v>
      </c>
      <c r="H10" s="26">
        <f t="shared" si="3"/>
        <v>1763.7424231898385</v>
      </c>
      <c r="I10" s="26">
        <f t="shared" si="3"/>
        <v>1587.3681808708548</v>
      </c>
      <c r="J10" s="26">
        <f t="shared" si="3"/>
        <v>1428.6313627837692</v>
      </c>
      <c r="K10" s="26">
        <f t="shared" si="3"/>
        <v>1285.7682265053922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0.98629999999999995</v>
      </c>
    </row>
    <row r="14" spans="1:12" ht="18" customHeight="1">
      <c r="A14" s="4" t="s">
        <v>49</v>
      </c>
      <c r="B14" s="28">
        <v>0.97109999999999996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L14"/>
  <sheetViews>
    <sheetView showGridLines="0" zoomScaleNormal="100" workbookViewId="0">
      <pane xSplit="1" ySplit="2" topLeftCell="B3" activePane="bottomRight" state="frozen"/>
      <selection pane="bottomRight" activeCell="B6" sqref="B6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9000</v>
      </c>
      <c r="D3" s="14">
        <f t="shared" si="0"/>
        <v>8100</v>
      </c>
      <c r="E3" s="14">
        <f t="shared" si="0"/>
        <v>7290</v>
      </c>
      <c r="F3" s="14">
        <f t="shared" si="0"/>
        <v>6561</v>
      </c>
      <c r="G3" s="14">
        <f t="shared" si="0"/>
        <v>5904.9</v>
      </c>
      <c r="H3" s="14">
        <f t="shared" si="0"/>
        <v>5314.41</v>
      </c>
      <c r="I3" s="14">
        <f t="shared" si="0"/>
        <v>4782.9690000000001</v>
      </c>
      <c r="J3" s="14">
        <f t="shared" si="0"/>
        <v>4304.6720999999998</v>
      </c>
      <c r="K3" s="14">
        <f t="shared" si="0"/>
        <v>3874.20489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-900</v>
      </c>
      <c r="D4" s="16">
        <f>-D3*Assumptions!$B$5</f>
        <v>-810</v>
      </c>
      <c r="E4" s="16">
        <f>-E3*Assumptions!$B$5</f>
        <v>-729</v>
      </c>
      <c r="F4" s="16">
        <f>-F3*Assumptions!$B$5</f>
        <v>-656.1</v>
      </c>
      <c r="G4" s="16">
        <f>-G3*Assumptions!$B$5</f>
        <v>-590.49</v>
      </c>
      <c r="H4" s="16">
        <f>-H3*Assumptions!$B$5</f>
        <v>-531.44100000000003</v>
      </c>
      <c r="I4" s="16">
        <f>-I3*Assumptions!$B$5</f>
        <v>-478.29690000000005</v>
      </c>
      <c r="J4" s="16">
        <f>-J3*Assumptions!$B$5</f>
        <v>-430.46721000000002</v>
      </c>
      <c r="K4" s="16">
        <f>-K3*Assumptions!$B$5</f>
        <v>-387.42048900000003</v>
      </c>
    </row>
    <row r="5" spans="1:12" ht="19.5" customHeight="1">
      <c r="A5" s="17" t="s">
        <v>41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0</v>
      </c>
      <c r="C6" s="19">
        <f t="shared" si="1"/>
        <v>0</v>
      </c>
      <c r="D6" s="19">
        <f t="shared" si="1"/>
        <v>0</v>
      </c>
      <c r="E6" s="19">
        <f t="shared" si="1"/>
        <v>0</v>
      </c>
      <c r="F6" s="19">
        <f t="shared" si="1"/>
        <v>0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0</v>
      </c>
      <c r="C7" s="20">
        <f>-C6*Assumptions!$B$6</f>
        <v>0</v>
      </c>
      <c r="D7" s="20">
        <f>-D6*Assumptions!$B$6</f>
        <v>0</v>
      </c>
      <c r="E7" s="20">
        <f>-E6*Assumptions!$B$6</f>
        <v>0</v>
      </c>
      <c r="F7" s="20">
        <f>-F6*Assumptions!$B$6</f>
        <v>0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9000</v>
      </c>
      <c r="C8" s="22">
        <f t="shared" si="2"/>
        <v>8100</v>
      </c>
      <c r="D8" s="22">
        <f t="shared" si="2"/>
        <v>7290</v>
      </c>
      <c r="E8" s="22">
        <f t="shared" si="2"/>
        <v>6561</v>
      </c>
      <c r="F8" s="22">
        <f t="shared" si="2"/>
        <v>5904.9</v>
      </c>
      <c r="G8" s="22">
        <f t="shared" si="2"/>
        <v>5314.41</v>
      </c>
      <c r="H8" s="22">
        <f t="shared" si="2"/>
        <v>4782.9690000000001</v>
      </c>
      <c r="I8" s="22">
        <f t="shared" si="2"/>
        <v>4304.6720999999998</v>
      </c>
      <c r="J8" s="22">
        <f t="shared" si="2"/>
        <v>3874.20489</v>
      </c>
      <c r="K8" s="22">
        <f t="shared" si="2"/>
        <v>3486.7844009999999</v>
      </c>
    </row>
    <row r="9" spans="1:12" ht="19.5" customHeight="1">
      <c r="A9" s="23" t="s">
        <v>45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9000</v>
      </c>
      <c r="C10" s="26">
        <f t="shared" si="3"/>
        <v>8100</v>
      </c>
      <c r="D10" s="26">
        <f t="shared" si="3"/>
        <v>7290</v>
      </c>
      <c r="E10" s="26">
        <f t="shared" si="3"/>
        <v>6561</v>
      </c>
      <c r="F10" s="26">
        <f t="shared" si="3"/>
        <v>5904.9</v>
      </c>
      <c r="G10" s="26">
        <f t="shared" si="3"/>
        <v>5314.41</v>
      </c>
      <c r="H10" s="26">
        <f t="shared" si="3"/>
        <v>4782.9690000000001</v>
      </c>
      <c r="I10" s="26">
        <f t="shared" si="3"/>
        <v>4304.6720999999998</v>
      </c>
      <c r="J10" s="26">
        <f t="shared" si="3"/>
        <v>3874.20489</v>
      </c>
      <c r="K10" s="26">
        <f t="shared" si="3"/>
        <v>3486.7844009999999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1.1884999999999999</v>
      </c>
    </row>
    <row r="14" spans="1:12" ht="18" customHeight="1">
      <c r="A14" s="4" t="s">
        <v>49</v>
      </c>
      <c r="B14" s="28">
        <v>1.1019000000000001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L14"/>
  <sheetViews>
    <sheetView showGridLines="0" zoomScaleNormal="100" workbookViewId="0">
      <pane xSplit="1" ySplit="2" topLeftCell="B3" activePane="bottomRight" state="frozen"/>
      <selection pane="bottomRight" activeCell="B3" sqref="B3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9000</v>
      </c>
      <c r="D3" s="14">
        <f t="shared" si="0"/>
        <v>8100</v>
      </c>
      <c r="E3" s="14">
        <f t="shared" si="0"/>
        <v>7290</v>
      </c>
      <c r="F3" s="14">
        <f t="shared" si="0"/>
        <v>6561</v>
      </c>
      <c r="G3" s="14">
        <f t="shared" si="0"/>
        <v>5904.9</v>
      </c>
      <c r="H3" s="14">
        <f t="shared" si="0"/>
        <v>5314.41</v>
      </c>
      <c r="I3" s="14">
        <f t="shared" si="0"/>
        <v>4782.9690000000001</v>
      </c>
      <c r="J3" s="14">
        <f t="shared" si="0"/>
        <v>4304.6720999999998</v>
      </c>
      <c r="K3" s="14">
        <f t="shared" si="0"/>
        <v>3874.20489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-900</v>
      </c>
      <c r="D4" s="16">
        <f>-D3*Assumptions!$B$5</f>
        <v>-810</v>
      </c>
      <c r="E4" s="16">
        <f>-E3*Assumptions!$B$5</f>
        <v>-729</v>
      </c>
      <c r="F4" s="16">
        <f>-F3*Assumptions!$B$5</f>
        <v>-656.1</v>
      </c>
      <c r="G4" s="16">
        <f>-G3*Assumptions!$B$5</f>
        <v>-590.49</v>
      </c>
      <c r="H4" s="16">
        <f>-H3*Assumptions!$B$5</f>
        <v>-531.44100000000003</v>
      </c>
      <c r="I4" s="16">
        <f>-I3*Assumptions!$B$5</f>
        <v>-478.29690000000005</v>
      </c>
      <c r="J4" s="16">
        <f>-J3*Assumptions!$B$5</f>
        <v>-430.46721000000002</v>
      </c>
      <c r="K4" s="16">
        <f>-K3*Assumptions!$B$5</f>
        <v>-387.42048900000003</v>
      </c>
    </row>
    <row r="5" spans="1:12" ht="19.5" customHeight="1">
      <c r="A5" s="17" t="s">
        <v>41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0</v>
      </c>
      <c r="C6" s="19">
        <f t="shared" si="1"/>
        <v>0</v>
      </c>
      <c r="D6" s="19">
        <f t="shared" si="1"/>
        <v>0</v>
      </c>
      <c r="E6" s="19">
        <f t="shared" si="1"/>
        <v>0</v>
      </c>
      <c r="F6" s="19">
        <f t="shared" si="1"/>
        <v>0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0</v>
      </c>
      <c r="C7" s="20">
        <f>-C6*Assumptions!$B$6</f>
        <v>0</v>
      </c>
      <c r="D7" s="20">
        <f>-D6*Assumptions!$B$6</f>
        <v>0</v>
      </c>
      <c r="E7" s="20">
        <f>-E6*Assumptions!$B$6</f>
        <v>0</v>
      </c>
      <c r="F7" s="20">
        <f>-F6*Assumptions!$B$6</f>
        <v>0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9000</v>
      </c>
      <c r="C8" s="22">
        <f t="shared" si="2"/>
        <v>8100</v>
      </c>
      <c r="D8" s="22">
        <f t="shared" si="2"/>
        <v>7290</v>
      </c>
      <c r="E8" s="22">
        <f t="shared" si="2"/>
        <v>6561</v>
      </c>
      <c r="F8" s="22">
        <f t="shared" si="2"/>
        <v>5904.9</v>
      </c>
      <c r="G8" s="22">
        <f t="shared" si="2"/>
        <v>5314.41</v>
      </c>
      <c r="H8" s="22">
        <f t="shared" si="2"/>
        <v>4782.9690000000001</v>
      </c>
      <c r="I8" s="22">
        <f t="shared" si="2"/>
        <v>4304.6720999999998</v>
      </c>
      <c r="J8" s="22">
        <f t="shared" si="2"/>
        <v>3874.20489</v>
      </c>
      <c r="K8" s="22">
        <f t="shared" si="2"/>
        <v>3486.7844009999999</v>
      </c>
    </row>
    <row r="9" spans="1:12" ht="19.5" customHeight="1">
      <c r="A9" s="23" t="s">
        <v>45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9000</v>
      </c>
      <c r="C10" s="26">
        <f t="shared" si="3"/>
        <v>8100</v>
      </c>
      <c r="D10" s="26">
        <f t="shared" si="3"/>
        <v>7290</v>
      </c>
      <c r="E10" s="26">
        <f t="shared" si="3"/>
        <v>6561</v>
      </c>
      <c r="F10" s="26">
        <f t="shared" si="3"/>
        <v>5904.9</v>
      </c>
      <c r="G10" s="26">
        <f t="shared" si="3"/>
        <v>5314.41</v>
      </c>
      <c r="H10" s="26">
        <f t="shared" si="3"/>
        <v>4782.9690000000001</v>
      </c>
      <c r="I10" s="26">
        <f t="shared" si="3"/>
        <v>4304.6720999999998</v>
      </c>
      <c r="J10" s="26">
        <f t="shared" si="3"/>
        <v>3874.20489</v>
      </c>
      <c r="K10" s="26">
        <f t="shared" si="3"/>
        <v>3486.7844009999999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1.1505000000000001</v>
      </c>
    </row>
    <row r="14" spans="1:12" ht="18" customHeight="1">
      <c r="A14" s="4" t="s">
        <v>49</v>
      </c>
      <c r="B14" s="28">
        <v>1.0809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9000</v>
      </c>
      <c r="D3" s="14">
        <f t="shared" si="0"/>
        <v>8100</v>
      </c>
      <c r="E3" s="14">
        <f t="shared" si="0"/>
        <v>7290</v>
      </c>
      <c r="F3" s="14">
        <f t="shared" si="0"/>
        <v>6561</v>
      </c>
      <c r="G3" s="14">
        <f t="shared" si="0"/>
        <v>5904.9</v>
      </c>
      <c r="H3" s="14">
        <f t="shared" si="0"/>
        <v>5314.41</v>
      </c>
      <c r="I3" s="14">
        <f t="shared" si="0"/>
        <v>4782.9690000000001</v>
      </c>
      <c r="J3" s="14">
        <f t="shared" si="0"/>
        <v>4304.6720999999998</v>
      </c>
      <c r="K3" s="14">
        <f t="shared" si="0"/>
        <v>3874.20489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-900</v>
      </c>
      <c r="D4" s="16">
        <f>-D3*Assumptions!$B$5</f>
        <v>-810</v>
      </c>
      <c r="E4" s="16">
        <f>-E3*Assumptions!$B$5</f>
        <v>-729</v>
      </c>
      <c r="F4" s="16">
        <f>-F3*Assumptions!$B$5</f>
        <v>-656.1</v>
      </c>
      <c r="G4" s="16">
        <f>-G3*Assumptions!$B$5</f>
        <v>-590.49</v>
      </c>
      <c r="H4" s="16">
        <f>-H3*Assumptions!$B$5</f>
        <v>-531.44100000000003</v>
      </c>
      <c r="I4" s="16">
        <f>-I3*Assumptions!$B$5</f>
        <v>-478.29690000000005</v>
      </c>
      <c r="J4" s="16">
        <f>-J3*Assumptions!$B$5</f>
        <v>-430.46721000000002</v>
      </c>
      <c r="K4" s="16">
        <f>-K3*Assumptions!$B$5</f>
        <v>-387.42048900000003</v>
      </c>
    </row>
    <row r="5" spans="1:12" ht="19.5" customHeight="1">
      <c r="A5" s="17" t="s">
        <v>41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0</v>
      </c>
      <c r="C6" s="19">
        <f t="shared" si="1"/>
        <v>0</v>
      </c>
      <c r="D6" s="19">
        <f t="shared" si="1"/>
        <v>0</v>
      </c>
      <c r="E6" s="19">
        <f t="shared" si="1"/>
        <v>0</v>
      </c>
      <c r="F6" s="19">
        <f t="shared" si="1"/>
        <v>0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0</v>
      </c>
      <c r="C7" s="20">
        <f>-C6*Assumptions!$B$6</f>
        <v>0</v>
      </c>
      <c r="D7" s="20">
        <f>-D6*Assumptions!$B$6</f>
        <v>0</v>
      </c>
      <c r="E7" s="20">
        <f>-E6*Assumptions!$B$6</f>
        <v>0</v>
      </c>
      <c r="F7" s="20">
        <f>-F6*Assumptions!$B$6</f>
        <v>0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9000</v>
      </c>
      <c r="C8" s="22">
        <f t="shared" si="2"/>
        <v>8100</v>
      </c>
      <c r="D8" s="22">
        <f t="shared" si="2"/>
        <v>7290</v>
      </c>
      <c r="E8" s="22">
        <f t="shared" si="2"/>
        <v>6561</v>
      </c>
      <c r="F8" s="22">
        <f t="shared" si="2"/>
        <v>5904.9</v>
      </c>
      <c r="G8" s="22">
        <f t="shared" si="2"/>
        <v>5314.41</v>
      </c>
      <c r="H8" s="22">
        <f t="shared" si="2"/>
        <v>4782.9690000000001</v>
      </c>
      <c r="I8" s="22">
        <f t="shared" si="2"/>
        <v>4304.6720999999998</v>
      </c>
      <c r="J8" s="22">
        <f t="shared" si="2"/>
        <v>3874.20489</v>
      </c>
      <c r="K8" s="22">
        <f t="shared" si="2"/>
        <v>3486.7844009999999</v>
      </c>
    </row>
    <row r="9" spans="1:12" ht="19.5" customHeight="1">
      <c r="A9" s="23" t="s">
        <v>45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9000</v>
      </c>
      <c r="C10" s="26">
        <f t="shared" si="3"/>
        <v>8100</v>
      </c>
      <c r="D10" s="26">
        <f t="shared" si="3"/>
        <v>7290</v>
      </c>
      <c r="E10" s="26">
        <f t="shared" si="3"/>
        <v>6561</v>
      </c>
      <c r="F10" s="26">
        <f t="shared" si="3"/>
        <v>5904.9</v>
      </c>
      <c r="G10" s="26">
        <f t="shared" si="3"/>
        <v>5314.41</v>
      </c>
      <c r="H10" s="26">
        <f t="shared" si="3"/>
        <v>4782.9690000000001</v>
      </c>
      <c r="I10" s="26">
        <f t="shared" si="3"/>
        <v>4304.6720999999998</v>
      </c>
      <c r="J10" s="26">
        <f t="shared" si="3"/>
        <v>3874.20489</v>
      </c>
      <c r="K10" s="26">
        <f t="shared" si="3"/>
        <v>3486.7844009999999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0.87450000000000006</v>
      </c>
    </row>
    <row r="14" spans="1:12" ht="18" customHeight="1">
      <c r="A14" s="4" t="s">
        <v>49</v>
      </c>
      <c r="B14" s="28">
        <v>0.94910000000000005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9000</v>
      </c>
      <c r="D3" s="14">
        <f t="shared" si="0"/>
        <v>8100</v>
      </c>
      <c r="E3" s="14">
        <f t="shared" si="0"/>
        <v>7290</v>
      </c>
      <c r="F3" s="14">
        <f t="shared" si="0"/>
        <v>6561</v>
      </c>
      <c r="G3" s="14">
        <f t="shared" si="0"/>
        <v>5904.9</v>
      </c>
      <c r="H3" s="14">
        <f t="shared" si="0"/>
        <v>5314.41</v>
      </c>
      <c r="I3" s="14">
        <f t="shared" si="0"/>
        <v>4782.9690000000001</v>
      </c>
      <c r="J3" s="14">
        <f t="shared" si="0"/>
        <v>4304.6720999999998</v>
      </c>
      <c r="K3" s="14">
        <f t="shared" si="0"/>
        <v>3874.20489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-900</v>
      </c>
      <c r="D4" s="16">
        <f>-D3*Assumptions!$B$5</f>
        <v>-810</v>
      </c>
      <c r="E4" s="16">
        <f>-E3*Assumptions!$B$5</f>
        <v>-729</v>
      </c>
      <c r="F4" s="16">
        <f>-F3*Assumptions!$B$5</f>
        <v>-656.1</v>
      </c>
      <c r="G4" s="16">
        <f>-G3*Assumptions!$B$5</f>
        <v>-590.49</v>
      </c>
      <c r="H4" s="16">
        <f>-H3*Assumptions!$B$5</f>
        <v>-531.44100000000003</v>
      </c>
      <c r="I4" s="16">
        <f>-I3*Assumptions!$B$5</f>
        <v>-478.29690000000005</v>
      </c>
      <c r="J4" s="16">
        <f>-J3*Assumptions!$B$5</f>
        <v>-430.46721000000002</v>
      </c>
      <c r="K4" s="16">
        <f>-K3*Assumptions!$B$5</f>
        <v>-387.42048900000003</v>
      </c>
    </row>
    <row r="5" spans="1:12" ht="19.5" customHeight="1">
      <c r="A5" s="17" t="s">
        <v>41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0</v>
      </c>
      <c r="C6" s="19">
        <f t="shared" si="1"/>
        <v>0</v>
      </c>
      <c r="D6" s="19">
        <f t="shared" si="1"/>
        <v>0</v>
      </c>
      <c r="E6" s="19">
        <f t="shared" si="1"/>
        <v>0</v>
      </c>
      <c r="F6" s="19">
        <f t="shared" si="1"/>
        <v>0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0</v>
      </c>
      <c r="C7" s="20">
        <f>-C6*Assumptions!$B$6</f>
        <v>0</v>
      </c>
      <c r="D7" s="20">
        <f>-D6*Assumptions!$B$6</f>
        <v>0</v>
      </c>
      <c r="E7" s="20">
        <f>-E6*Assumptions!$B$6</f>
        <v>0</v>
      </c>
      <c r="F7" s="20">
        <f>-F6*Assumptions!$B$6</f>
        <v>0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9000</v>
      </c>
      <c r="C8" s="22">
        <f t="shared" si="2"/>
        <v>8100</v>
      </c>
      <c r="D8" s="22">
        <f t="shared" si="2"/>
        <v>7290</v>
      </c>
      <c r="E8" s="22">
        <f t="shared" si="2"/>
        <v>6561</v>
      </c>
      <c r="F8" s="22">
        <f t="shared" si="2"/>
        <v>5904.9</v>
      </c>
      <c r="G8" s="22">
        <f t="shared" si="2"/>
        <v>5314.41</v>
      </c>
      <c r="H8" s="22">
        <f t="shared" si="2"/>
        <v>4782.9690000000001</v>
      </c>
      <c r="I8" s="22">
        <f t="shared" si="2"/>
        <v>4304.6720999999998</v>
      </c>
      <c r="J8" s="22">
        <f t="shared" si="2"/>
        <v>3874.20489</v>
      </c>
      <c r="K8" s="22">
        <f t="shared" si="2"/>
        <v>3486.7844009999999</v>
      </c>
    </row>
    <row r="9" spans="1:12" ht="19.5" customHeight="1">
      <c r="A9" s="23" t="s">
        <v>45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9000</v>
      </c>
      <c r="C10" s="26">
        <f t="shared" si="3"/>
        <v>8100</v>
      </c>
      <c r="D10" s="26">
        <f t="shared" si="3"/>
        <v>7290</v>
      </c>
      <c r="E10" s="26">
        <f t="shared" si="3"/>
        <v>6561</v>
      </c>
      <c r="F10" s="26">
        <f t="shared" si="3"/>
        <v>5904.9</v>
      </c>
      <c r="G10" s="26">
        <f t="shared" si="3"/>
        <v>5314.41</v>
      </c>
      <c r="H10" s="26">
        <f t="shared" si="3"/>
        <v>4782.9690000000001</v>
      </c>
      <c r="I10" s="26">
        <f t="shared" si="3"/>
        <v>4304.6720999999998</v>
      </c>
      <c r="J10" s="26">
        <f t="shared" si="3"/>
        <v>3874.20489</v>
      </c>
      <c r="K10" s="26">
        <f t="shared" si="3"/>
        <v>3486.7844009999999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0.83479999999999999</v>
      </c>
    </row>
    <row r="14" spans="1:12" ht="18" customHeight="1">
      <c r="A14" s="4" t="s">
        <v>49</v>
      </c>
      <c r="B14" s="28">
        <v>1.0263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9000</v>
      </c>
      <c r="D3" s="14">
        <f t="shared" si="0"/>
        <v>8100</v>
      </c>
      <c r="E3" s="14">
        <f t="shared" si="0"/>
        <v>7290</v>
      </c>
      <c r="F3" s="14">
        <f t="shared" si="0"/>
        <v>6561</v>
      </c>
      <c r="G3" s="14">
        <f t="shared" si="0"/>
        <v>5904.9</v>
      </c>
      <c r="H3" s="14">
        <f t="shared" si="0"/>
        <v>5314.41</v>
      </c>
      <c r="I3" s="14">
        <f t="shared" si="0"/>
        <v>4782.9690000000001</v>
      </c>
      <c r="J3" s="14">
        <f t="shared" si="0"/>
        <v>4304.6720999999998</v>
      </c>
      <c r="K3" s="14">
        <f t="shared" si="0"/>
        <v>3874.20489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-900</v>
      </c>
      <c r="D4" s="16">
        <f>-D3*Assumptions!$B$5</f>
        <v>-810</v>
      </c>
      <c r="E4" s="16">
        <f>-E3*Assumptions!$B$5</f>
        <v>-729</v>
      </c>
      <c r="F4" s="16">
        <f>-F3*Assumptions!$B$5</f>
        <v>-656.1</v>
      </c>
      <c r="G4" s="16">
        <f>-G3*Assumptions!$B$5</f>
        <v>-590.49</v>
      </c>
      <c r="H4" s="16">
        <f>-H3*Assumptions!$B$5</f>
        <v>-531.44100000000003</v>
      </c>
      <c r="I4" s="16">
        <f>-I3*Assumptions!$B$5</f>
        <v>-478.29690000000005</v>
      </c>
      <c r="J4" s="16">
        <f>-J3*Assumptions!$B$5</f>
        <v>-430.46721000000002</v>
      </c>
      <c r="K4" s="16">
        <f>-K3*Assumptions!$B$5</f>
        <v>-387.42048900000003</v>
      </c>
    </row>
    <row r="5" spans="1:12" ht="19.5" customHeight="1">
      <c r="A5" s="17" t="s">
        <v>41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0</v>
      </c>
      <c r="C6" s="19">
        <f t="shared" si="1"/>
        <v>0</v>
      </c>
      <c r="D6" s="19">
        <f t="shared" si="1"/>
        <v>0</v>
      </c>
      <c r="E6" s="19">
        <f t="shared" si="1"/>
        <v>0</v>
      </c>
      <c r="F6" s="19">
        <f t="shared" si="1"/>
        <v>0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0</v>
      </c>
      <c r="C7" s="20">
        <f>-C6*Assumptions!$B$6</f>
        <v>0</v>
      </c>
      <c r="D7" s="20">
        <f>-D6*Assumptions!$B$6</f>
        <v>0</v>
      </c>
      <c r="E7" s="20">
        <f>-E6*Assumptions!$B$6</f>
        <v>0</v>
      </c>
      <c r="F7" s="20">
        <f>-F6*Assumptions!$B$6</f>
        <v>0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9000</v>
      </c>
      <c r="C8" s="22">
        <f t="shared" si="2"/>
        <v>8100</v>
      </c>
      <c r="D8" s="22">
        <f t="shared" si="2"/>
        <v>7290</v>
      </c>
      <c r="E8" s="22">
        <f t="shared" si="2"/>
        <v>6561</v>
      </c>
      <c r="F8" s="22">
        <f t="shared" si="2"/>
        <v>5904.9</v>
      </c>
      <c r="G8" s="22">
        <f t="shared" si="2"/>
        <v>5314.41</v>
      </c>
      <c r="H8" s="22">
        <f t="shared" si="2"/>
        <v>4782.9690000000001</v>
      </c>
      <c r="I8" s="22">
        <f t="shared" si="2"/>
        <v>4304.6720999999998</v>
      </c>
      <c r="J8" s="22">
        <f t="shared" si="2"/>
        <v>3874.20489</v>
      </c>
      <c r="K8" s="22">
        <f t="shared" si="2"/>
        <v>3486.7844009999999</v>
      </c>
    </row>
    <row r="9" spans="1:12" ht="19.5" customHeight="1">
      <c r="A9" s="23" t="s">
        <v>45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9000</v>
      </c>
      <c r="C10" s="26">
        <f t="shared" si="3"/>
        <v>8100</v>
      </c>
      <c r="D10" s="26">
        <f t="shared" si="3"/>
        <v>7290</v>
      </c>
      <c r="E10" s="26">
        <f t="shared" si="3"/>
        <v>6561</v>
      </c>
      <c r="F10" s="26">
        <f t="shared" si="3"/>
        <v>5904.9</v>
      </c>
      <c r="G10" s="26">
        <f t="shared" si="3"/>
        <v>5314.41</v>
      </c>
      <c r="H10" s="26">
        <f t="shared" si="3"/>
        <v>4782.9690000000001</v>
      </c>
      <c r="I10" s="26">
        <f t="shared" si="3"/>
        <v>4304.6720999999998</v>
      </c>
      <c r="J10" s="26">
        <f t="shared" si="3"/>
        <v>3874.20489</v>
      </c>
      <c r="K10" s="26">
        <f t="shared" si="3"/>
        <v>3486.7844009999999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</v>
      </c>
    </row>
    <row r="14" spans="1:12" ht="18" customHeight="1">
      <c r="A14" s="4" t="s">
        <v>49</v>
      </c>
      <c r="B14" s="28">
        <v>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9000</v>
      </c>
      <c r="D3" s="14">
        <f t="shared" si="0"/>
        <v>8100</v>
      </c>
      <c r="E3" s="14">
        <f t="shared" si="0"/>
        <v>7290</v>
      </c>
      <c r="F3" s="14">
        <f t="shared" si="0"/>
        <v>6561</v>
      </c>
      <c r="G3" s="14">
        <f t="shared" si="0"/>
        <v>5904.9</v>
      </c>
      <c r="H3" s="14">
        <f t="shared" si="0"/>
        <v>5314.41</v>
      </c>
      <c r="I3" s="14">
        <f t="shared" si="0"/>
        <v>4782.9690000000001</v>
      </c>
      <c r="J3" s="14">
        <f t="shared" si="0"/>
        <v>4304.6720999999998</v>
      </c>
      <c r="K3" s="14">
        <f t="shared" si="0"/>
        <v>3874.20489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-900</v>
      </c>
      <c r="D4" s="16">
        <f>-D3*Assumptions!$B$5</f>
        <v>-810</v>
      </c>
      <c r="E4" s="16">
        <f>-E3*Assumptions!$B$5</f>
        <v>-729</v>
      </c>
      <c r="F4" s="16">
        <f>-F3*Assumptions!$B$5</f>
        <v>-656.1</v>
      </c>
      <c r="G4" s="16">
        <f>-G3*Assumptions!$B$5</f>
        <v>-590.49</v>
      </c>
      <c r="H4" s="16">
        <f>-H3*Assumptions!$B$5</f>
        <v>-531.44100000000003</v>
      </c>
      <c r="I4" s="16">
        <f>-I3*Assumptions!$B$5</f>
        <v>-478.29690000000005</v>
      </c>
      <c r="J4" s="16">
        <f>-J3*Assumptions!$B$5</f>
        <v>-430.46721000000002</v>
      </c>
      <c r="K4" s="16">
        <f>-K3*Assumptions!$B$5</f>
        <v>-387.42048900000003</v>
      </c>
    </row>
    <row r="5" spans="1:12" ht="19.5" customHeight="1">
      <c r="A5" s="17" t="s">
        <v>41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0</v>
      </c>
      <c r="C6" s="19">
        <f t="shared" si="1"/>
        <v>0</v>
      </c>
      <c r="D6" s="19">
        <f t="shared" si="1"/>
        <v>0</v>
      </c>
      <c r="E6" s="19">
        <f t="shared" si="1"/>
        <v>0</v>
      </c>
      <c r="F6" s="19">
        <f t="shared" si="1"/>
        <v>0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0</v>
      </c>
      <c r="C7" s="20">
        <f>-C6*Assumptions!$B$6</f>
        <v>0</v>
      </c>
      <c r="D7" s="20">
        <f>-D6*Assumptions!$B$6</f>
        <v>0</v>
      </c>
      <c r="E7" s="20">
        <f>-E6*Assumptions!$B$6</f>
        <v>0</v>
      </c>
      <c r="F7" s="20">
        <f>-F6*Assumptions!$B$6</f>
        <v>0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9000</v>
      </c>
      <c r="C8" s="22">
        <f t="shared" si="2"/>
        <v>8100</v>
      </c>
      <c r="D8" s="22">
        <f t="shared" si="2"/>
        <v>7290</v>
      </c>
      <c r="E8" s="22">
        <f t="shared" si="2"/>
        <v>6561</v>
      </c>
      <c r="F8" s="22">
        <f t="shared" si="2"/>
        <v>5904.9</v>
      </c>
      <c r="G8" s="22">
        <f t="shared" si="2"/>
        <v>5314.41</v>
      </c>
      <c r="H8" s="22">
        <f t="shared" si="2"/>
        <v>4782.9690000000001</v>
      </c>
      <c r="I8" s="22">
        <f t="shared" si="2"/>
        <v>4304.6720999999998</v>
      </c>
      <c r="J8" s="22">
        <f t="shared" si="2"/>
        <v>3874.20489</v>
      </c>
      <c r="K8" s="22">
        <f t="shared" si="2"/>
        <v>3486.7844009999999</v>
      </c>
    </row>
    <row r="9" spans="1:12" ht="19.5" customHeight="1">
      <c r="A9" s="23" t="s">
        <v>45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9000</v>
      </c>
      <c r="C10" s="26">
        <f t="shared" si="3"/>
        <v>8100</v>
      </c>
      <c r="D10" s="26">
        <f t="shared" si="3"/>
        <v>7290</v>
      </c>
      <c r="E10" s="26">
        <f t="shared" si="3"/>
        <v>6561</v>
      </c>
      <c r="F10" s="26">
        <f t="shared" si="3"/>
        <v>5904.9</v>
      </c>
      <c r="G10" s="26">
        <f t="shared" si="3"/>
        <v>5314.41</v>
      </c>
      <c r="H10" s="26">
        <f t="shared" si="3"/>
        <v>4782.9690000000001</v>
      </c>
      <c r="I10" s="26">
        <f t="shared" si="3"/>
        <v>4304.6720999999998</v>
      </c>
      <c r="J10" s="26">
        <f t="shared" si="3"/>
        <v>3874.20489</v>
      </c>
      <c r="K10" s="26">
        <f t="shared" si="3"/>
        <v>3486.7844009999999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0.96450000000000002</v>
      </c>
    </row>
    <row r="14" spans="1:12" ht="18" customHeight="1">
      <c r="A14" s="4" t="s">
        <v>49</v>
      </c>
      <c r="B14" s="28">
        <v>1.0723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9000</v>
      </c>
      <c r="D3" s="14">
        <f t="shared" si="0"/>
        <v>8100</v>
      </c>
      <c r="E3" s="14">
        <f t="shared" si="0"/>
        <v>7290</v>
      </c>
      <c r="F3" s="14">
        <f t="shared" si="0"/>
        <v>6561</v>
      </c>
      <c r="G3" s="14">
        <f t="shared" si="0"/>
        <v>5904.9</v>
      </c>
      <c r="H3" s="14">
        <f t="shared" si="0"/>
        <v>5314.41</v>
      </c>
      <c r="I3" s="14">
        <f t="shared" si="0"/>
        <v>4782.9690000000001</v>
      </c>
      <c r="J3" s="14">
        <f t="shared" si="0"/>
        <v>4304.6720999999998</v>
      </c>
      <c r="K3" s="14">
        <f t="shared" si="0"/>
        <v>3874.20489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-900</v>
      </c>
      <c r="D4" s="16">
        <f>-D3*Assumptions!$B$5</f>
        <v>-810</v>
      </c>
      <c r="E4" s="16">
        <f>-E3*Assumptions!$B$5</f>
        <v>-729</v>
      </c>
      <c r="F4" s="16">
        <f>-F3*Assumptions!$B$5</f>
        <v>-656.1</v>
      </c>
      <c r="G4" s="16">
        <f>-G3*Assumptions!$B$5</f>
        <v>-590.49</v>
      </c>
      <c r="H4" s="16">
        <f>-H3*Assumptions!$B$5</f>
        <v>-531.44100000000003</v>
      </c>
      <c r="I4" s="16">
        <f>-I3*Assumptions!$B$5</f>
        <v>-478.29690000000005</v>
      </c>
      <c r="J4" s="16">
        <f>-J3*Assumptions!$B$5</f>
        <v>-430.46721000000002</v>
      </c>
      <c r="K4" s="16">
        <f>-K3*Assumptions!$B$5</f>
        <v>-387.42048900000003</v>
      </c>
    </row>
    <row r="5" spans="1:12" ht="19.5" customHeight="1">
      <c r="A5" s="17" t="s">
        <v>41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0</v>
      </c>
      <c r="C6" s="19">
        <f t="shared" si="1"/>
        <v>0</v>
      </c>
      <c r="D6" s="19">
        <f t="shared" si="1"/>
        <v>0</v>
      </c>
      <c r="E6" s="19">
        <f t="shared" si="1"/>
        <v>0</v>
      </c>
      <c r="F6" s="19">
        <f t="shared" si="1"/>
        <v>0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0</v>
      </c>
      <c r="C7" s="20">
        <f>-C6*Assumptions!$B$6</f>
        <v>0</v>
      </c>
      <c r="D7" s="20">
        <f>-D6*Assumptions!$B$6</f>
        <v>0</v>
      </c>
      <c r="E7" s="20">
        <f>-E6*Assumptions!$B$6</f>
        <v>0</v>
      </c>
      <c r="F7" s="20">
        <f>-F6*Assumptions!$B$6</f>
        <v>0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9000</v>
      </c>
      <c r="C8" s="22">
        <f t="shared" si="2"/>
        <v>8100</v>
      </c>
      <c r="D8" s="22">
        <f t="shared" si="2"/>
        <v>7290</v>
      </c>
      <c r="E8" s="22">
        <f t="shared" si="2"/>
        <v>6561</v>
      </c>
      <c r="F8" s="22">
        <f t="shared" si="2"/>
        <v>5904.9</v>
      </c>
      <c r="G8" s="22">
        <f t="shared" si="2"/>
        <v>5314.41</v>
      </c>
      <c r="H8" s="22">
        <f t="shared" si="2"/>
        <v>4782.9690000000001</v>
      </c>
      <c r="I8" s="22">
        <f t="shared" si="2"/>
        <v>4304.6720999999998</v>
      </c>
      <c r="J8" s="22">
        <f t="shared" si="2"/>
        <v>3874.20489</v>
      </c>
      <c r="K8" s="22">
        <f t="shared" si="2"/>
        <v>3486.7844009999999</v>
      </c>
    </row>
    <row r="9" spans="1:12" ht="19.5" customHeight="1">
      <c r="A9" s="23" t="s">
        <v>45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9000</v>
      </c>
      <c r="C10" s="26">
        <f t="shared" si="3"/>
        <v>8100</v>
      </c>
      <c r="D10" s="26">
        <f t="shared" si="3"/>
        <v>7290</v>
      </c>
      <c r="E10" s="26">
        <f t="shared" si="3"/>
        <v>6561</v>
      </c>
      <c r="F10" s="26">
        <f t="shared" si="3"/>
        <v>5904.9</v>
      </c>
      <c r="G10" s="26">
        <f t="shared" si="3"/>
        <v>5314.41</v>
      </c>
      <c r="H10" s="26">
        <f t="shared" si="3"/>
        <v>4782.9690000000001</v>
      </c>
      <c r="I10" s="26">
        <f t="shared" si="3"/>
        <v>4304.6720999999998</v>
      </c>
      <c r="J10" s="26">
        <f t="shared" si="3"/>
        <v>3874.20489</v>
      </c>
      <c r="K10" s="26">
        <f t="shared" si="3"/>
        <v>3486.7844009999999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0.92079999999999995</v>
      </c>
    </row>
    <row r="14" spans="1:12" ht="18" customHeight="1">
      <c r="A14" s="4" t="s">
        <v>49</v>
      </c>
      <c r="B14" s="28">
        <v>1.0169999999999999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L14"/>
  <sheetViews>
    <sheetView showGridLines="0" zoomScaleNormal="100" workbookViewId="0">
      <pane xSplit="1" ySplit="2" topLeftCell="B3" activePane="bottomRight" state="frozen"/>
      <selection pane="bottomRight" activeCell="B4" sqref="B4"/>
      <selection pane="bottomLeft" activeCell="A3" sqref="A3"/>
      <selection pane="topRight" activeCell="B1" sqref="B1"/>
    </sheetView>
  </sheetViews>
  <sheetFormatPr defaultColWidth="8.7109375" defaultRowHeight="14.45"/>
  <cols>
    <col min="1" max="1" width="38" customWidth="1"/>
    <col min="2" max="12" width="14" customWidth="1"/>
  </cols>
  <sheetData>
    <row r="1" spans="1:12" ht="27.75" customHeight="1">
      <c r="A1" s="31" t="s">
        <v>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1.75" customHeight="1">
      <c r="A2" s="11" t="s">
        <v>38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</row>
    <row r="3" spans="1:12" ht="19.5" customHeight="1">
      <c r="A3" s="12" t="s">
        <v>39</v>
      </c>
      <c r="B3" s="13">
        <v>10000</v>
      </c>
      <c r="C3" s="14">
        <f t="shared" ref="C3:K3" si="0">B10</f>
        <v>9000</v>
      </c>
      <c r="D3" s="14">
        <f t="shared" si="0"/>
        <v>8100</v>
      </c>
      <c r="E3" s="14">
        <f t="shared" si="0"/>
        <v>7290</v>
      </c>
      <c r="F3" s="14">
        <f t="shared" si="0"/>
        <v>6561</v>
      </c>
      <c r="G3" s="14">
        <f t="shared" si="0"/>
        <v>5904.9</v>
      </c>
      <c r="H3" s="14">
        <f t="shared" si="0"/>
        <v>5314.41</v>
      </c>
      <c r="I3" s="14">
        <f t="shared" si="0"/>
        <v>4782.9690000000001</v>
      </c>
      <c r="J3" s="14">
        <f t="shared" si="0"/>
        <v>4304.6720999999998</v>
      </c>
      <c r="K3" s="14">
        <f t="shared" si="0"/>
        <v>3874.20489</v>
      </c>
    </row>
    <row r="4" spans="1:12" ht="19.5" customHeight="1">
      <c r="A4" s="15" t="s">
        <v>40</v>
      </c>
      <c r="B4" s="16">
        <f>-B3*Assumptions!$B$5</f>
        <v>-1000</v>
      </c>
      <c r="C4" s="16">
        <f>-C3*Assumptions!$B$5</f>
        <v>-900</v>
      </c>
      <c r="D4" s="16">
        <f>-D3*Assumptions!$B$5</f>
        <v>-810</v>
      </c>
      <c r="E4" s="16">
        <f>-E3*Assumptions!$B$5</f>
        <v>-729</v>
      </c>
      <c r="F4" s="16">
        <f>-F3*Assumptions!$B$5</f>
        <v>-656.1</v>
      </c>
      <c r="G4" s="16">
        <f>-G3*Assumptions!$B$5</f>
        <v>-590.49</v>
      </c>
      <c r="H4" s="16">
        <f>-H3*Assumptions!$B$5</f>
        <v>-531.44100000000003</v>
      </c>
      <c r="I4" s="16">
        <f>-I3*Assumptions!$B$5</f>
        <v>-478.29690000000005</v>
      </c>
      <c r="J4" s="16">
        <f>-J3*Assumptions!$B$5</f>
        <v>-430.46721000000002</v>
      </c>
      <c r="K4" s="16">
        <f>-K3*Assumptions!$B$5</f>
        <v>-387.42048900000003</v>
      </c>
    </row>
    <row r="5" spans="1:12" ht="19.5" customHeight="1">
      <c r="A5" s="17" t="s">
        <v>41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2" ht="19.5" customHeight="1">
      <c r="A6" s="17" t="s">
        <v>42</v>
      </c>
      <c r="B6" s="19">
        <f t="shared" ref="B6:K6" si="1">B5*$B$13*$B$14</f>
        <v>0</v>
      </c>
      <c r="C6" s="19">
        <f t="shared" si="1"/>
        <v>0</v>
      </c>
      <c r="D6" s="19">
        <f t="shared" si="1"/>
        <v>0</v>
      </c>
      <c r="E6" s="19">
        <f t="shared" si="1"/>
        <v>0</v>
      </c>
      <c r="F6" s="19">
        <f t="shared" si="1"/>
        <v>0</v>
      </c>
      <c r="G6" s="19">
        <f t="shared" si="1"/>
        <v>0</v>
      </c>
      <c r="H6" s="19">
        <f t="shared" si="1"/>
        <v>0</v>
      </c>
      <c r="I6" s="19">
        <f t="shared" si="1"/>
        <v>0</v>
      </c>
      <c r="J6" s="19">
        <f t="shared" si="1"/>
        <v>0</v>
      </c>
      <c r="K6" s="19">
        <f t="shared" si="1"/>
        <v>0</v>
      </c>
    </row>
    <row r="7" spans="1:12" ht="19.5" customHeight="1">
      <c r="A7" s="15" t="s">
        <v>43</v>
      </c>
      <c r="B7" s="20">
        <f>-B6*Assumptions!$B$6</f>
        <v>0</v>
      </c>
      <c r="C7" s="20">
        <f>-C6*Assumptions!$B$6</f>
        <v>0</v>
      </c>
      <c r="D7" s="20">
        <f>-D6*Assumptions!$B$6</f>
        <v>0</v>
      </c>
      <c r="E7" s="20">
        <f>-E6*Assumptions!$B$6</f>
        <v>0</v>
      </c>
      <c r="F7" s="20">
        <f>-F6*Assumptions!$B$6</f>
        <v>0</v>
      </c>
      <c r="G7" s="20">
        <f>-G6*Assumptions!$B$6</f>
        <v>0</v>
      </c>
      <c r="H7" s="20">
        <f>-H6*Assumptions!$B$6</f>
        <v>0</v>
      </c>
      <c r="I7" s="20">
        <f>-I6*Assumptions!$B$6</f>
        <v>0</v>
      </c>
      <c r="J7" s="20">
        <f>-J6*Assumptions!$B$6</f>
        <v>0</v>
      </c>
      <c r="K7" s="20">
        <f>-K6*Assumptions!$B$6</f>
        <v>0</v>
      </c>
    </row>
    <row r="8" spans="1:12" ht="19.5" customHeight="1">
      <c r="A8" s="21" t="s">
        <v>44</v>
      </c>
      <c r="B8" s="22">
        <f t="shared" ref="B8:K8" si="2">B3+B4+B6+B7</f>
        <v>9000</v>
      </c>
      <c r="C8" s="22">
        <f t="shared" si="2"/>
        <v>8100</v>
      </c>
      <c r="D8" s="22">
        <f t="shared" si="2"/>
        <v>7290</v>
      </c>
      <c r="E8" s="22">
        <f t="shared" si="2"/>
        <v>6561</v>
      </c>
      <c r="F8" s="22">
        <f t="shared" si="2"/>
        <v>5904.9</v>
      </c>
      <c r="G8" s="22">
        <f t="shared" si="2"/>
        <v>5314.41</v>
      </c>
      <c r="H8" s="22">
        <f t="shared" si="2"/>
        <v>4782.9690000000001</v>
      </c>
      <c r="I8" s="22">
        <f t="shared" si="2"/>
        <v>4304.6720999999998</v>
      </c>
      <c r="J8" s="22">
        <f t="shared" si="2"/>
        <v>3874.20489</v>
      </c>
      <c r="K8" s="22">
        <f t="shared" si="2"/>
        <v>3486.7844009999999</v>
      </c>
    </row>
    <row r="9" spans="1:12" ht="19.5" customHeight="1">
      <c r="A9" s="23" t="s">
        <v>45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</row>
    <row r="10" spans="1:12" ht="19.5" customHeight="1">
      <c r="A10" s="25" t="s">
        <v>46</v>
      </c>
      <c r="B10" s="26">
        <f t="shared" ref="B10:K10" si="3">B8-B9</f>
        <v>9000</v>
      </c>
      <c r="C10" s="26">
        <f t="shared" si="3"/>
        <v>8100</v>
      </c>
      <c r="D10" s="26">
        <f t="shared" si="3"/>
        <v>7290</v>
      </c>
      <c r="E10" s="26">
        <f t="shared" si="3"/>
        <v>6561</v>
      </c>
      <c r="F10" s="26">
        <f t="shared" si="3"/>
        <v>5904.9</v>
      </c>
      <c r="G10" s="26">
        <f t="shared" si="3"/>
        <v>5314.41</v>
      </c>
      <c r="H10" s="26">
        <f t="shared" si="3"/>
        <v>4782.9690000000001</v>
      </c>
      <c r="I10" s="26">
        <f t="shared" si="3"/>
        <v>4304.6720999999998</v>
      </c>
      <c r="J10" s="26">
        <f t="shared" si="3"/>
        <v>3874.20489</v>
      </c>
      <c r="K10" s="26">
        <f t="shared" si="3"/>
        <v>3486.7844009999999</v>
      </c>
    </row>
    <row r="12" spans="1:12" ht="18" customHeight="1">
      <c r="A12" s="27" t="s">
        <v>47</v>
      </c>
    </row>
    <row r="13" spans="1:12" ht="18" customHeight="1">
      <c r="A13" s="4" t="s">
        <v>48</v>
      </c>
      <c r="B13" s="28">
        <v>1.0691999999999999</v>
      </c>
    </row>
    <row r="14" spans="1:12" ht="18" customHeight="1">
      <c r="A14" s="4" t="s">
        <v>49</v>
      </c>
      <c r="B14" s="28">
        <v>0.97740000000000005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Anas Afadar</cp:lastModifiedBy>
  <cp:revision>0</cp:revision>
  <dcterms:created xsi:type="dcterms:W3CDTF">2026-02-13T02:02:17Z</dcterms:created>
  <dcterms:modified xsi:type="dcterms:W3CDTF">2026-04-28T15:16:09Z</dcterms:modified>
  <cp:category/>
  <cp:contentStatus/>
</cp:coreProperties>
</file>